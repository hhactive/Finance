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8109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pple/Desktop/FNCE 5351-VBA/"/>
    </mc:Choice>
  </mc:AlternateContent>
  <bookViews>
    <workbookView xWindow="240" yWindow="460" windowWidth="14960" windowHeight="7900" activeTab="1"/>
  </bookViews>
  <sheets>
    <sheet name="ListItem" sheetId="2" r:id="rId1"/>
    <sheet name="RSpline" sheetId="3" r:id="rId2"/>
    <sheet name="GraphResult" sheetId="5" r:id="rId3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4" i="5" l="1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4" i="3"/>
  <c r="G3" i="3"/>
  <c r="S4" i="3"/>
  <c r="S2" i="3"/>
</calcChain>
</file>

<file path=xl/sharedStrings.xml><?xml version="1.0" encoding="utf-8"?>
<sst xmlns="http://schemas.openxmlformats.org/spreadsheetml/2006/main" count="30" uniqueCount="30">
  <si>
    <t>Weights</t>
    <phoneticPr fontId="3" type="noConversion"/>
  </si>
  <si>
    <t>1/Maturity^2</t>
  </si>
  <si>
    <t>Coupon Rate</t>
  </si>
  <si>
    <t>Price</t>
  </si>
  <si>
    <t>Maturity</t>
  </si>
  <si>
    <t>Next Pmt</t>
  </si>
  <si>
    <t>Remaining Pmt</t>
  </si>
  <si>
    <t>Knots</t>
  </si>
  <si>
    <t>Weights</t>
  </si>
  <si>
    <t>t(i)</t>
  </si>
  <si>
    <t>coef(i)</t>
  </si>
  <si>
    <t>Fitted</t>
  </si>
  <si>
    <t>a</t>
  </si>
  <si>
    <t>b</t>
  </si>
  <si>
    <t>c</t>
  </si>
  <si>
    <t>t</t>
    <phoneticPr fontId="2" type="noConversion"/>
  </si>
  <si>
    <t>r(t)</t>
    <phoneticPr fontId="2" type="noConversion"/>
  </si>
  <si>
    <t>P(0, t)</t>
    <phoneticPr fontId="2" type="noConversion"/>
  </si>
  <si>
    <t>% Error</t>
  </si>
  <si>
    <t>Average Price Error</t>
    <phoneticPr fontId="4" type="noConversion"/>
  </si>
  <si>
    <t>Max Pricing Error</t>
    <phoneticPr fontId="4" type="noConversion"/>
  </si>
  <si>
    <t>Yield Curve</t>
    <phoneticPr fontId="2" type="noConversion"/>
  </si>
  <si>
    <t>Freq</t>
    <phoneticPr fontId="2" type="noConversion"/>
  </si>
  <si>
    <t>Clean</t>
    <phoneticPr fontId="2" type="noConversion"/>
  </si>
  <si>
    <t>Dirty</t>
    <phoneticPr fontId="2" type="noConversion"/>
  </si>
  <si>
    <t>d(1)</t>
    <phoneticPr fontId="4" type="noConversion"/>
  </si>
  <si>
    <t>d(2)</t>
  </si>
  <si>
    <t>d(3)</t>
  </si>
  <si>
    <t>d(4)</t>
  </si>
  <si>
    <t>Coupon Details (Bold items are inputs to be read)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</si>
</sst>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0.00_ "/>
    <numFmt numFmtId="177" formatCode="0.0000_ "/>
    <numFmt numFmtId="178" formatCode="mm/dd/yyyy"/>
    <numFmt numFmtId="179" formatCode="dd/mm/yyyy"/>
    <numFmt numFmtId="180" formatCode="0.000%"/>
    <numFmt numFmtId="181" formatCode="0.000_);[Red]\(0.000\)"/>
    <numFmt numFmtId="182" formatCode="0.000"/>
  </numFmts>
  <fonts count="12" x14ac:knownFonts="1">
    <font>
      <sz val="12"/>
      <color indexed="8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9"/>
      <name val="新細明體"/>
      <family val="1"/>
      <charset val="136"/>
    </font>
    <font>
      <sz val="9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8"/>
      <name val="新細明體"/>
      <family val="1"/>
      <charset val="136"/>
    </font>
    <font>
      <b/>
      <u/>
      <sz val="12"/>
      <color indexed="8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2"/>
      <name val="Arial"/>
      <family val="2"/>
    </font>
    <font>
      <sz val="12"/>
      <color rgb="FF000000"/>
      <name val="新細明體"/>
      <charset val="136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25">
    <xf numFmtId="0" fontId="0" fillId="0" borderId="0" xfId="0">
      <alignment vertical="center"/>
    </xf>
    <xf numFmtId="181" fontId="8" fillId="0" borderId="0" xfId="1" applyNumberFormat="1" applyFont="1" applyAlignment="1">
      <alignment horizontal="center" vertical="center"/>
    </xf>
    <xf numFmtId="0" fontId="8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10" fontId="8" fillId="0" borderId="0" xfId="1" applyNumberFormat="1" applyFont="1" applyAlignment="1">
      <alignment horizontal="center" vertical="center"/>
    </xf>
    <xf numFmtId="182" fontId="8" fillId="0" borderId="0" xfId="0" applyNumberFormat="1" applyFont="1">
      <alignment vertical="center"/>
    </xf>
    <xf numFmtId="181" fontId="8" fillId="0" borderId="0" xfId="1" applyNumberFormat="1" applyFont="1">
      <alignment vertical="center"/>
    </xf>
    <xf numFmtId="10" fontId="8" fillId="0" borderId="0" xfId="1" applyNumberFormat="1" applyFont="1">
      <alignment vertical="center"/>
    </xf>
    <xf numFmtId="0" fontId="8" fillId="0" borderId="0" xfId="0" applyFont="1" applyFill="1">
      <alignment vertical="center"/>
    </xf>
    <xf numFmtId="0" fontId="9" fillId="0" borderId="0" xfId="0" applyFont="1" applyAlignment="1">
      <alignment horizontal="center" vertical="center"/>
    </xf>
    <xf numFmtId="177" fontId="8" fillId="0" borderId="0" xfId="0" applyNumberFormat="1" applyFont="1">
      <alignment vertical="center"/>
    </xf>
    <xf numFmtId="0" fontId="10" fillId="0" borderId="0" xfId="0" applyFont="1">
      <alignment vertical="center"/>
    </xf>
    <xf numFmtId="176" fontId="8" fillId="0" borderId="0" xfId="0" applyNumberFormat="1" applyFont="1">
      <alignment vertical="center"/>
    </xf>
    <xf numFmtId="180" fontId="8" fillId="0" borderId="0" xfId="1" applyNumberFormat="1" applyFont="1">
      <alignment vertical="center"/>
    </xf>
    <xf numFmtId="176" fontId="8" fillId="0" borderId="0" xfId="0" applyNumberFormat="1" applyFont="1" applyBorder="1">
      <alignment vertical="center"/>
    </xf>
    <xf numFmtId="0" fontId="8" fillId="0" borderId="0" xfId="2" applyFont="1">
      <alignment vertical="center"/>
    </xf>
    <xf numFmtId="178" fontId="8" fillId="0" borderId="0" xfId="2" applyNumberFormat="1" applyFont="1">
      <alignment vertical="center"/>
    </xf>
    <xf numFmtId="179" fontId="8" fillId="0" borderId="0" xfId="2" applyNumberFormat="1" applyFont="1">
      <alignment vertical="center"/>
    </xf>
    <xf numFmtId="177" fontId="8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80" fontId="8" fillId="0" borderId="0" xfId="1" applyNumberFormat="1" applyFont="1" applyAlignment="1">
      <alignment horizontal="center" vertical="center"/>
    </xf>
    <xf numFmtId="176" fontId="8" fillId="0" borderId="0" xfId="0" applyNumberFormat="1" applyFont="1" applyAlignment="1">
      <alignment horizontal="center" vertical="center"/>
    </xf>
    <xf numFmtId="176" fontId="8" fillId="0" borderId="0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3">
    <cellStyle name="Normal" xfId="0" builtinId="0"/>
    <cellStyle name="Percent" xfId="1" builtinId="5"/>
    <cellStyle name="一般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en-US"/>
              <a:t>Yield Curve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825681318362"/>
          <c:y val="0.162079994743868"/>
          <c:w val="0.823414293880003"/>
          <c:h val="0.62385507410847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GraphResult!$B$2</c:f>
              <c:strCache>
                <c:ptCount val="1"/>
                <c:pt idx="0">
                  <c:v>r(t)</c:v>
                </c:pt>
              </c:strCache>
            </c:strRef>
          </c:tx>
          <c:marker>
            <c:symbol val="none"/>
          </c:marker>
          <c:xVal>
            <c:numRef>
              <c:f>GraphResult!$A$3:$A$1002</c:f>
              <c:numCache>
                <c:formatCode>General</c:formatCode>
                <c:ptCount val="1000"/>
                <c:pt idx="0">
                  <c:v>0.0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1.900000000000001</c:v>
                </c:pt>
                <c:pt idx="20">
                  <c:v>2.0</c:v>
                </c:pt>
                <c:pt idx="21">
                  <c:v>2.100000000000001</c:v>
                </c:pt>
                <c:pt idx="22">
                  <c:v>2.200000000000001</c:v>
                </c:pt>
                <c:pt idx="23">
                  <c:v>2.300000000000001</c:v>
                </c:pt>
                <c:pt idx="24">
                  <c:v>2.400000000000001</c:v>
                </c:pt>
                <c:pt idx="25">
                  <c:v>2.500000000000001</c:v>
                </c:pt>
                <c:pt idx="26">
                  <c:v>2.600000000000001</c:v>
                </c:pt>
                <c:pt idx="27">
                  <c:v>2.700000000000001</c:v>
                </c:pt>
                <c:pt idx="28">
                  <c:v>2.800000000000001</c:v>
                </c:pt>
                <c:pt idx="29">
                  <c:v>2.900000000000001</c:v>
                </c:pt>
                <c:pt idx="30">
                  <c:v>3.000000000000001</c:v>
                </c:pt>
                <c:pt idx="31">
                  <c:v>3.100000000000001</c:v>
                </c:pt>
                <c:pt idx="32">
                  <c:v>3.200000000000001</c:v>
                </c:pt>
                <c:pt idx="33">
                  <c:v>3.300000000000002</c:v>
                </c:pt>
                <c:pt idx="34">
                  <c:v>3.400000000000002</c:v>
                </c:pt>
                <c:pt idx="35">
                  <c:v>3.500000000000002</c:v>
                </c:pt>
                <c:pt idx="36">
                  <c:v>3.600000000000002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</c:v>
                </c:pt>
                <c:pt idx="40">
                  <c:v>4.000000000000002</c:v>
                </c:pt>
                <c:pt idx="41">
                  <c:v>4.100000000000001</c:v>
                </c:pt>
                <c:pt idx="42">
                  <c:v>4.200000000000001</c:v>
                </c:pt>
                <c:pt idx="43">
                  <c:v>4.300000000000001</c:v>
                </c:pt>
                <c:pt idx="44">
                  <c:v>4.4</c:v>
                </c:pt>
                <c:pt idx="45">
                  <c:v>4.5</c:v>
                </c:pt>
                <c:pt idx="46">
                  <c:v>4.6</c:v>
                </c:pt>
                <c:pt idx="47">
                  <c:v>4.699999999999999</c:v>
                </c:pt>
                <c:pt idx="48">
                  <c:v>4.799999999999999</c:v>
                </c:pt>
                <c:pt idx="49">
                  <c:v>4.899999999999999</c:v>
                </c:pt>
                <c:pt idx="50">
                  <c:v>4.999999999999998</c:v>
                </c:pt>
                <c:pt idx="51">
                  <c:v>5.099999999999998</c:v>
                </c:pt>
                <c:pt idx="52">
                  <c:v>5.199999999999997</c:v>
                </c:pt>
                <c:pt idx="53">
                  <c:v>5.299999999999997</c:v>
                </c:pt>
                <c:pt idx="54">
                  <c:v>5.399999999999997</c:v>
                </c:pt>
                <c:pt idx="55">
                  <c:v>5.499999999999996</c:v>
                </c:pt>
                <c:pt idx="56">
                  <c:v>5.599999999999996</c:v>
                </c:pt>
                <c:pt idx="57">
                  <c:v>5.699999999999996</c:v>
                </c:pt>
                <c:pt idx="58">
                  <c:v>5.799999999999995</c:v>
                </c:pt>
                <c:pt idx="59">
                  <c:v>5.899999999999995</c:v>
                </c:pt>
                <c:pt idx="60">
                  <c:v>5.999999999999994</c:v>
                </c:pt>
                <c:pt idx="61">
                  <c:v>6.099999999999994</c:v>
                </c:pt>
                <c:pt idx="62">
                  <c:v>6.199999999999994</c:v>
                </c:pt>
                <c:pt idx="63">
                  <c:v>6.299999999999994</c:v>
                </c:pt>
                <c:pt idx="64">
                  <c:v>6.399999999999993</c:v>
                </c:pt>
                <c:pt idx="65">
                  <c:v>6.499999999999993</c:v>
                </c:pt>
                <c:pt idx="66">
                  <c:v>6.599999999999993</c:v>
                </c:pt>
                <c:pt idx="67">
                  <c:v>6.699999999999992</c:v>
                </c:pt>
                <c:pt idx="68">
                  <c:v>6.799999999999992</c:v>
                </c:pt>
                <c:pt idx="69">
                  <c:v>6.899999999999991</c:v>
                </c:pt>
                <c:pt idx="70">
                  <c:v>6.999999999999991</c:v>
                </c:pt>
                <c:pt idx="71">
                  <c:v>7.099999999999991</c:v>
                </c:pt>
                <c:pt idx="72">
                  <c:v>7.19999999999999</c:v>
                </c:pt>
                <c:pt idx="73">
                  <c:v>7.29999999999999</c:v>
                </c:pt>
                <c:pt idx="74">
                  <c:v>7.39999999999999</c:v>
                </c:pt>
                <c:pt idx="75">
                  <c:v>7.49999999999999</c:v>
                </c:pt>
                <c:pt idx="76">
                  <c:v>7.599999999999989</c:v>
                </c:pt>
                <c:pt idx="77">
                  <c:v>7.699999999999989</c:v>
                </c:pt>
                <c:pt idx="78">
                  <c:v>7.799999999999988</c:v>
                </c:pt>
                <c:pt idx="79">
                  <c:v>7.899999999999988</c:v>
                </c:pt>
                <c:pt idx="80">
                  <c:v>7.999999999999987</c:v>
                </c:pt>
                <c:pt idx="81">
                  <c:v>8.099999999999987</c:v>
                </c:pt>
                <c:pt idx="82">
                  <c:v>8.199999999999986</c:v>
                </c:pt>
                <c:pt idx="83">
                  <c:v>8.299999999999986</c:v>
                </c:pt>
                <c:pt idx="84">
                  <c:v>8.399999999999986</c:v>
                </c:pt>
                <c:pt idx="85">
                  <c:v>8.499999999999985</c:v>
                </c:pt>
                <c:pt idx="86">
                  <c:v>8.599999999999985</c:v>
                </c:pt>
                <c:pt idx="87">
                  <c:v>8.699999999999984</c:v>
                </c:pt>
                <c:pt idx="88">
                  <c:v>8.799999999999984</c:v>
                </c:pt>
                <c:pt idx="89">
                  <c:v>8.899999999999984</c:v>
                </c:pt>
                <c:pt idx="90">
                  <c:v>8.999999999999983</c:v>
                </c:pt>
                <c:pt idx="91">
                  <c:v>9.099999999999983</c:v>
                </c:pt>
                <c:pt idx="92">
                  <c:v>9.199999999999983</c:v>
                </c:pt>
                <c:pt idx="93">
                  <c:v>9.299999999999982</c:v>
                </c:pt>
                <c:pt idx="94">
                  <c:v>9.39999999999998</c:v>
                </c:pt>
                <c:pt idx="95">
                  <c:v>9.49999999999998</c:v>
                </c:pt>
                <c:pt idx="96">
                  <c:v>9.59999999999998</c:v>
                </c:pt>
                <c:pt idx="97">
                  <c:v>9.69999999999998</c:v>
                </c:pt>
                <c:pt idx="98">
                  <c:v>9.79999999999998</c:v>
                </c:pt>
                <c:pt idx="99">
                  <c:v>9.89999999999998</c:v>
                </c:pt>
                <c:pt idx="100">
                  <c:v>9.99999999999998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10.29999999999998</c:v>
                </c:pt>
                <c:pt idx="104">
                  <c:v>10.39999999999998</c:v>
                </c:pt>
                <c:pt idx="105">
                  <c:v>10.49999999999998</c:v>
                </c:pt>
                <c:pt idx="106">
                  <c:v>10.59999999999998</c:v>
                </c:pt>
                <c:pt idx="107">
                  <c:v>10.69999999999998</c:v>
                </c:pt>
                <c:pt idx="108">
                  <c:v>10.79999999999998</c:v>
                </c:pt>
                <c:pt idx="109">
                  <c:v>10.89999999999998</c:v>
                </c:pt>
                <c:pt idx="110">
                  <c:v>10.99999999999998</c:v>
                </c:pt>
                <c:pt idx="111">
                  <c:v>11.09999999999998</c:v>
                </c:pt>
                <c:pt idx="112">
                  <c:v>11.19999999999998</c:v>
                </c:pt>
                <c:pt idx="113">
                  <c:v>11.29999999999998</c:v>
                </c:pt>
                <c:pt idx="114">
                  <c:v>11.39999999999998</c:v>
                </c:pt>
                <c:pt idx="115">
                  <c:v>11.49999999999998</c:v>
                </c:pt>
                <c:pt idx="116">
                  <c:v>11.59999999999997</c:v>
                </c:pt>
                <c:pt idx="117">
                  <c:v>11.69999999999997</c:v>
                </c:pt>
                <c:pt idx="118">
                  <c:v>11.79999999999997</c:v>
                </c:pt>
                <c:pt idx="119">
                  <c:v>11.89999999999997</c:v>
                </c:pt>
                <c:pt idx="120">
                  <c:v>11.99999999999997</c:v>
                </c:pt>
                <c:pt idx="121">
                  <c:v>12.09999999999997</c:v>
                </c:pt>
                <c:pt idx="122">
                  <c:v>12.19999999999997</c:v>
                </c:pt>
                <c:pt idx="123">
                  <c:v>12.29999999999997</c:v>
                </c:pt>
                <c:pt idx="124">
                  <c:v>12.39999999999997</c:v>
                </c:pt>
                <c:pt idx="125">
                  <c:v>12.49999999999997</c:v>
                </c:pt>
                <c:pt idx="126">
                  <c:v>12.59999999999997</c:v>
                </c:pt>
                <c:pt idx="127">
                  <c:v>12.69999999999997</c:v>
                </c:pt>
                <c:pt idx="128">
                  <c:v>12.79999999999997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13.09999999999997</c:v>
                </c:pt>
                <c:pt idx="132">
                  <c:v>13.19999999999997</c:v>
                </c:pt>
                <c:pt idx="133">
                  <c:v>13.29999999999997</c:v>
                </c:pt>
                <c:pt idx="134">
                  <c:v>13.39999999999997</c:v>
                </c:pt>
                <c:pt idx="135">
                  <c:v>13.49999999999997</c:v>
                </c:pt>
                <c:pt idx="136">
                  <c:v>13.59999999999997</c:v>
                </c:pt>
                <c:pt idx="137">
                  <c:v>13.69999999999997</c:v>
                </c:pt>
                <c:pt idx="138">
                  <c:v>13.79999999999997</c:v>
                </c:pt>
                <c:pt idx="139">
                  <c:v>13.89999999999997</c:v>
                </c:pt>
                <c:pt idx="140">
                  <c:v>13.99999999999997</c:v>
                </c:pt>
                <c:pt idx="141">
                  <c:v>14.09999999999997</c:v>
                </c:pt>
                <c:pt idx="142">
                  <c:v>14.19999999999997</c:v>
                </c:pt>
                <c:pt idx="143">
                  <c:v>14.29999999999997</c:v>
                </c:pt>
                <c:pt idx="144">
                  <c:v>14.39999999999996</c:v>
                </c:pt>
                <c:pt idx="145">
                  <c:v>14.49999999999996</c:v>
                </c:pt>
                <c:pt idx="146">
                  <c:v>14.59999999999996</c:v>
                </c:pt>
                <c:pt idx="147">
                  <c:v>14.69999999999996</c:v>
                </c:pt>
                <c:pt idx="148">
                  <c:v>14.79999999999996</c:v>
                </c:pt>
                <c:pt idx="149">
                  <c:v>14.89999999999996</c:v>
                </c:pt>
                <c:pt idx="150">
                  <c:v>14.99999999999996</c:v>
                </c:pt>
                <c:pt idx="151">
                  <c:v>15.09999999999996</c:v>
                </c:pt>
                <c:pt idx="152">
                  <c:v>15.19999999999996</c:v>
                </c:pt>
                <c:pt idx="153">
                  <c:v>15.29999999999996</c:v>
                </c:pt>
                <c:pt idx="154">
                  <c:v>15.39999999999996</c:v>
                </c:pt>
                <c:pt idx="155">
                  <c:v>15.49999999999996</c:v>
                </c:pt>
                <c:pt idx="156">
                  <c:v>15.59999999999996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15.89999999999996</c:v>
                </c:pt>
                <c:pt idx="160">
                  <c:v>15.99999999999996</c:v>
                </c:pt>
                <c:pt idx="161">
                  <c:v>16.09999999999996</c:v>
                </c:pt>
                <c:pt idx="162">
                  <c:v>16.19999999999996</c:v>
                </c:pt>
                <c:pt idx="163">
                  <c:v>16.29999999999996</c:v>
                </c:pt>
                <c:pt idx="164">
                  <c:v>16.39999999999996</c:v>
                </c:pt>
                <c:pt idx="165">
                  <c:v>16.49999999999996</c:v>
                </c:pt>
                <c:pt idx="166">
                  <c:v>16.59999999999997</c:v>
                </c:pt>
                <c:pt idx="167">
                  <c:v>16.69999999999997</c:v>
                </c:pt>
                <c:pt idx="168">
                  <c:v>16.79999999999997</c:v>
                </c:pt>
                <c:pt idx="169">
                  <c:v>16.89999999999997</c:v>
                </c:pt>
                <c:pt idx="170">
                  <c:v>16.99999999999997</c:v>
                </c:pt>
                <c:pt idx="171">
                  <c:v>17.09999999999997</c:v>
                </c:pt>
                <c:pt idx="172">
                  <c:v>17.19999999999997</c:v>
                </c:pt>
                <c:pt idx="173">
                  <c:v>17.29999999999998</c:v>
                </c:pt>
                <c:pt idx="174">
                  <c:v>17.39999999999998</c:v>
                </c:pt>
                <c:pt idx="175">
                  <c:v>17.49999999999998</c:v>
                </c:pt>
                <c:pt idx="176">
                  <c:v>17.59999999999998</c:v>
                </c:pt>
                <c:pt idx="177">
                  <c:v>17.69999999999998</c:v>
                </c:pt>
                <c:pt idx="178">
                  <c:v>17.79999999999998</c:v>
                </c:pt>
                <c:pt idx="179">
                  <c:v>17.89999999999998</c:v>
                </c:pt>
                <c:pt idx="180">
                  <c:v>17.99999999999999</c:v>
                </c:pt>
                <c:pt idx="181">
                  <c:v>18.09999999999999</c:v>
                </c:pt>
                <c:pt idx="182">
                  <c:v>18.19999999999999</c:v>
                </c:pt>
                <c:pt idx="183">
                  <c:v>18.29999999999999</c:v>
                </c:pt>
                <c:pt idx="184">
                  <c:v>18.39999999999999</c:v>
                </c:pt>
                <c:pt idx="185">
                  <c:v>18.49999999999999</c:v>
                </c:pt>
                <c:pt idx="186">
                  <c:v>18.59999999999999</c:v>
                </c:pt>
                <c:pt idx="187">
                  <c:v>18.7</c:v>
                </c:pt>
                <c:pt idx="188">
                  <c:v>18.8</c:v>
                </c:pt>
                <c:pt idx="189">
                  <c:v>18.9</c:v>
                </c:pt>
                <c:pt idx="190">
                  <c:v>19.0</c:v>
                </c:pt>
                <c:pt idx="191">
                  <c:v>19.1</c:v>
                </c:pt>
                <c:pt idx="192">
                  <c:v>19.2</c:v>
                </c:pt>
                <c:pt idx="193">
                  <c:v>19.3</c:v>
                </c:pt>
                <c:pt idx="194">
                  <c:v>19.40000000000001</c:v>
                </c:pt>
                <c:pt idx="195">
                  <c:v>19.50000000000001</c:v>
                </c:pt>
                <c:pt idx="196">
                  <c:v>19.60000000000001</c:v>
                </c:pt>
                <c:pt idx="197">
                  <c:v>19.70000000000001</c:v>
                </c:pt>
                <c:pt idx="198">
                  <c:v>19.80000000000001</c:v>
                </c:pt>
                <c:pt idx="199">
                  <c:v>19.90000000000001</c:v>
                </c:pt>
                <c:pt idx="200">
                  <c:v>20.00000000000001</c:v>
                </c:pt>
                <c:pt idx="201">
                  <c:v>20.10000000000002</c:v>
                </c:pt>
                <c:pt idx="202">
                  <c:v>20.20000000000002</c:v>
                </c:pt>
                <c:pt idx="203">
                  <c:v>20.30000000000002</c:v>
                </c:pt>
                <c:pt idx="204">
                  <c:v>20.40000000000002</c:v>
                </c:pt>
                <c:pt idx="205">
                  <c:v>20.50000000000002</c:v>
                </c:pt>
                <c:pt idx="206">
                  <c:v>20.60000000000002</c:v>
                </c:pt>
                <c:pt idx="207">
                  <c:v>20.70000000000002</c:v>
                </c:pt>
                <c:pt idx="208">
                  <c:v>20.80000000000003</c:v>
                </c:pt>
                <c:pt idx="209">
                  <c:v>20.90000000000003</c:v>
                </c:pt>
                <c:pt idx="210">
                  <c:v>21.00000000000003</c:v>
                </c:pt>
                <c:pt idx="211">
                  <c:v>21.10000000000003</c:v>
                </c:pt>
                <c:pt idx="212">
                  <c:v>21.20000000000003</c:v>
                </c:pt>
                <c:pt idx="213">
                  <c:v>21.30000000000003</c:v>
                </c:pt>
                <c:pt idx="214">
                  <c:v>21.40000000000003</c:v>
                </c:pt>
                <c:pt idx="215">
                  <c:v>21.50000000000004</c:v>
                </c:pt>
                <c:pt idx="216">
                  <c:v>21.60000000000004</c:v>
                </c:pt>
                <c:pt idx="217">
                  <c:v>21.70000000000004</c:v>
                </c:pt>
                <c:pt idx="218">
                  <c:v>21.80000000000004</c:v>
                </c:pt>
                <c:pt idx="219">
                  <c:v>21.90000000000004</c:v>
                </c:pt>
                <c:pt idx="220">
                  <c:v>22.00000000000004</c:v>
                </c:pt>
                <c:pt idx="221">
                  <c:v>22.10000000000004</c:v>
                </c:pt>
                <c:pt idx="222">
                  <c:v>22.20000000000005</c:v>
                </c:pt>
                <c:pt idx="223">
                  <c:v>22.30000000000005</c:v>
                </c:pt>
                <c:pt idx="224">
                  <c:v>22.40000000000005</c:v>
                </c:pt>
                <c:pt idx="225">
                  <c:v>22.50000000000005</c:v>
                </c:pt>
                <c:pt idx="226">
                  <c:v>22.60000000000005</c:v>
                </c:pt>
                <c:pt idx="227">
                  <c:v>22.70000000000005</c:v>
                </c:pt>
                <c:pt idx="228">
                  <c:v>22.80000000000005</c:v>
                </c:pt>
                <c:pt idx="229">
                  <c:v>22.90000000000006</c:v>
                </c:pt>
                <c:pt idx="230">
                  <c:v>23.00000000000006</c:v>
                </c:pt>
                <c:pt idx="231">
                  <c:v>23.10000000000006</c:v>
                </c:pt>
                <c:pt idx="232">
                  <c:v>23.20000000000006</c:v>
                </c:pt>
                <c:pt idx="233">
                  <c:v>23.30000000000006</c:v>
                </c:pt>
                <c:pt idx="234">
                  <c:v>23.40000000000006</c:v>
                </c:pt>
                <c:pt idx="235">
                  <c:v>23.50000000000006</c:v>
                </c:pt>
                <c:pt idx="236">
                  <c:v>23.60000000000007</c:v>
                </c:pt>
                <c:pt idx="237">
                  <c:v>23.70000000000007</c:v>
                </c:pt>
                <c:pt idx="238">
                  <c:v>23.80000000000007</c:v>
                </c:pt>
                <c:pt idx="239">
                  <c:v>23.90000000000007</c:v>
                </c:pt>
                <c:pt idx="240">
                  <c:v>24.00000000000007</c:v>
                </c:pt>
                <c:pt idx="241">
                  <c:v>24.10000000000007</c:v>
                </c:pt>
                <c:pt idx="242">
                  <c:v>24.20000000000007</c:v>
                </c:pt>
                <c:pt idx="243">
                  <c:v>24.30000000000008</c:v>
                </c:pt>
                <c:pt idx="244">
                  <c:v>24.40000000000008</c:v>
                </c:pt>
                <c:pt idx="245">
                  <c:v>24.50000000000008</c:v>
                </c:pt>
                <c:pt idx="246">
                  <c:v>24.60000000000008</c:v>
                </c:pt>
                <c:pt idx="247">
                  <c:v>24.70000000000008</c:v>
                </c:pt>
                <c:pt idx="248">
                  <c:v>24.80000000000008</c:v>
                </c:pt>
                <c:pt idx="249">
                  <c:v>24.90000000000008</c:v>
                </c:pt>
                <c:pt idx="250">
                  <c:v>25.00000000000009</c:v>
                </c:pt>
              </c:numCache>
            </c:numRef>
          </c:xVal>
          <c:yVal>
            <c:numRef>
              <c:f>GraphResult!$B$3:$B$1002</c:f>
              <c:numCache>
                <c:formatCode>General</c:formatCode>
                <c:ptCount val="1000"/>
                <c:pt idx="0">
                  <c:v>0.00228096871362096</c:v>
                </c:pt>
                <c:pt idx="1">
                  <c:v>0.00225543280209188</c:v>
                </c:pt>
                <c:pt idx="2">
                  <c:v>0.00224379659880217</c:v>
                </c:pt>
                <c:pt idx="3">
                  <c:v>0.00224606948619547</c:v>
                </c:pt>
                <c:pt idx="4">
                  <c:v>0.00226226088892487</c:v>
                </c:pt>
                <c:pt idx="5">
                  <c:v>0.00229238056461706</c:v>
                </c:pt>
                <c:pt idx="6">
                  <c:v>0.00233643889546875</c:v>
                </c:pt>
                <c:pt idx="7">
                  <c:v>0.00239444718074417</c:v>
                </c:pt>
                <c:pt idx="8">
                  <c:v>0.00246641793031164</c:v>
                </c:pt>
                <c:pt idx="9">
                  <c:v>0.00255236515938129</c:v>
                </c:pt>
                <c:pt idx="10">
                  <c:v>0.00265230468467137</c:v>
                </c:pt>
                <c:pt idx="11">
                  <c:v>0.00276625442226807</c:v>
                </c:pt>
                <c:pt idx="12">
                  <c:v>0.00289423468749164</c:v>
                </c:pt>
                <c:pt idx="13">
                  <c:v>0.00303626849713568</c:v>
                </c:pt>
                <c:pt idx="14">
                  <c:v>0.00319238187449018</c:v>
                </c:pt>
                <c:pt idx="15">
                  <c:v>0.00336260415761706</c:v>
                </c:pt>
                <c:pt idx="16">
                  <c:v>0.00354696831139105</c:v>
                </c:pt>
                <c:pt idx="17">
                  <c:v>0.00374551124388005</c:v>
                </c:pt>
                <c:pt idx="18">
                  <c:v>0.00395827412769393</c:v>
                </c:pt>
                <c:pt idx="19">
                  <c:v>0.00418530272698535</c:v>
                </c:pt>
                <c:pt idx="20">
                  <c:v>0.00442664773085428</c:v>
                </c:pt>
                <c:pt idx="21">
                  <c:v>0.00468193846027808</c:v>
                </c:pt>
                <c:pt idx="22">
                  <c:v>0.00494925500190824</c:v>
                </c:pt>
                <c:pt idx="23">
                  <c:v>0.00522662852507384</c:v>
                </c:pt>
                <c:pt idx="24">
                  <c:v>0.00551242377557381</c:v>
                </c:pt>
                <c:pt idx="25">
                  <c:v>0.00580527207840178</c:v>
                </c:pt>
                <c:pt idx="26">
                  <c:v>0.00610401980738244</c:v>
                </c:pt>
                <c:pt idx="27">
                  <c:v>0.00640768831143511</c:v>
                </c:pt>
                <c:pt idx="28">
                  <c:v>0.0067154424329888</c:v>
                </c:pt>
                <c:pt idx="29">
                  <c:v>0.0070265655442881</c:v>
                </c:pt>
                <c:pt idx="30">
                  <c:v>0.00734043958047745</c:v>
                </c:pt>
                <c:pt idx="31">
                  <c:v>0.0076565289409085</c:v>
                </c:pt>
                <c:pt idx="32">
                  <c:v>0.00797436741226516</c:v>
                </c:pt>
                <c:pt idx="33">
                  <c:v>0.00829354747229882</c:v>
                </c:pt>
                <c:pt idx="34">
                  <c:v>0.00861371148384855</c:v>
                </c:pt>
                <c:pt idx="35">
                  <c:v>0.00893454440090397</c:v>
                </c:pt>
                <c:pt idx="36">
                  <c:v>0.00925576769252876</c:v>
                </c:pt>
                <c:pt idx="37">
                  <c:v>0.00957713425407904</c:v>
                </c:pt>
                <c:pt idx="38">
                  <c:v>0.00989842412369544</c:v>
                </c:pt>
                <c:pt idx="39">
                  <c:v>0.0102194408593937</c:v>
                </c:pt>
                <c:pt idx="40">
                  <c:v>0.0105400084610176</c:v>
                </c:pt>
                <c:pt idx="41">
                  <c:v>0.0108599687439088</c:v>
                </c:pt>
                <c:pt idx="42">
                  <c:v>0.0111791790888913</c:v>
                </c:pt>
                <c:pt idx="43">
                  <c:v>0.0114975105072067</c:v>
                </c:pt>
                <c:pt idx="44">
                  <c:v>0.0118148459701938</c:v>
                </c:pt>
                <c:pt idx="45">
                  <c:v>0.0121310789624375</c:v>
                </c:pt>
                <c:pt idx="46">
                  <c:v>0.012446112224296</c:v>
                </c:pt>
                <c:pt idx="47">
                  <c:v>0.0127598566555193</c:v>
                </c:pt>
                <c:pt idx="48">
                  <c:v>0.0130722303563925</c:v>
                </c:pt>
                <c:pt idx="49">
                  <c:v>0.013383157786688</c:v>
                </c:pt>
                <c:pt idx="50">
                  <c:v>0.0136925690258691</c:v>
                </c:pt>
                <c:pt idx="51">
                  <c:v>0.0140003991205869</c:v>
                </c:pt>
                <c:pt idx="52">
                  <c:v>0.0143065875076657</c:v>
                </c:pt>
                <c:pt idx="53">
                  <c:v>0.0146110775025556</c:v>
                </c:pt>
                <c:pt idx="54">
                  <c:v>0.0149138158447188</c:v>
                </c:pt>
                <c:pt idx="55">
                  <c:v>0.0152147522926614</c:v>
                </c:pt>
                <c:pt idx="56">
                  <c:v>0.0155138392623665</c:v>
                </c:pt>
                <c:pt idx="57">
                  <c:v>0.0158110315037639</c:v>
                </c:pt>
                <c:pt idx="58">
                  <c:v>0.0161062858106154</c:v>
                </c:pt>
                <c:pt idx="59">
                  <c:v>0.0163995607598229</c:v>
                </c:pt>
                <c:pt idx="60">
                  <c:v>0.0166908164767033</c:v>
                </c:pt>
                <c:pt idx="61">
                  <c:v>0.0169800144232319</c:v>
                </c:pt>
                <c:pt idx="62">
                  <c:v>0.0172671172066415</c:v>
                </c:pt>
                <c:pt idx="63">
                  <c:v>0.0175520884061055</c:v>
                </c:pt>
                <c:pt idx="64">
                  <c:v>0.017834892415515</c:v>
                </c:pt>
                <c:pt idx="65">
                  <c:v>0.0181154943006119</c:v>
                </c:pt>
                <c:pt idx="66">
                  <c:v>0.0183938596689523</c:v>
                </c:pt>
                <c:pt idx="67">
                  <c:v>0.0186699545513596</c:v>
                </c:pt>
                <c:pt idx="68">
                  <c:v>0.0189437452936893</c:v>
                </c:pt>
                <c:pt idx="69">
                  <c:v>0.0192151984578675</c:v>
                </c:pt>
                <c:pt idx="70">
                  <c:v>0.0194842807312846</c:v>
                </c:pt>
                <c:pt idx="71">
                  <c:v>0.0197509588437372</c:v>
                </c:pt>
                <c:pt idx="72">
                  <c:v>0.0200151994912011</c:v>
                </c:pt>
                <c:pt idx="73">
                  <c:v>0.0202769692658016</c:v>
                </c:pt>
                <c:pt idx="74">
                  <c:v>0.020536234591421</c:v>
                </c:pt>
                <c:pt idx="75">
                  <c:v>0.0207929616644454</c:v>
                </c:pt>
                <c:pt idx="76">
                  <c:v>0.0210471163992089</c:v>
                </c:pt>
                <c:pt idx="77">
                  <c:v>0.0212986643777468</c:v>
                </c:pt>
                <c:pt idx="78">
                  <c:v>0.0215475708035081</c:v>
                </c:pt>
                <c:pt idx="79">
                  <c:v>0.0217938004587222</c:v>
                </c:pt>
                <c:pt idx="80">
                  <c:v>0.0220373176651475</c:v>
                </c:pt>
                <c:pt idx="81">
                  <c:v>0.0222780862479601</c:v>
                </c:pt>
                <c:pt idx="82">
                  <c:v>0.0225160695025716</c:v>
                </c:pt>
                <c:pt idx="83">
                  <c:v>0.0227512301641877</c:v>
                </c:pt>
                <c:pt idx="84">
                  <c:v>0.0229835303799434</c:v>
                </c:pt>
                <c:pt idx="85">
                  <c:v>0.02321293168347</c:v>
                </c:pt>
                <c:pt idx="86">
                  <c:v>0.0234393949717687</c:v>
                </c:pt>
                <c:pt idx="87">
                  <c:v>0.0236628804842813</c:v>
                </c:pt>
                <c:pt idx="88">
                  <c:v>0.0238833477840636</c:v>
                </c:pt>
                <c:pt idx="89">
                  <c:v>0.0241007557409816</c:v>
                </c:pt>
                <c:pt idx="90">
                  <c:v>0.0243150625168623</c:v>
                </c:pt>
                <c:pt idx="91">
                  <c:v>0.0245262255525423</c:v>
                </c:pt>
                <c:pt idx="92">
                  <c:v>0.0247342015567677</c:v>
                </c:pt>
                <c:pt idx="93">
                  <c:v>0.0249389464969097</c:v>
                </c:pt>
                <c:pt idx="94">
                  <c:v>0.025140415591466</c:v>
                </c:pt>
                <c:pt idx="95">
                  <c:v>0.0253385633043284</c:v>
                </c:pt>
                <c:pt idx="96">
                  <c:v>0.0255333433408046</c:v>
                </c:pt>
                <c:pt idx="97">
                  <c:v>0.0257247086453855</c:v>
                </c:pt>
                <c:pt idx="98">
                  <c:v>0.0259126114012599</c:v>
                </c:pt>
                <c:pt idx="99">
                  <c:v>0.0260970030315802</c:v>
                </c:pt>
                <c:pt idx="100">
                  <c:v>0.0262778342024901</c:v>
                </c:pt>
                <c:pt idx="101">
                  <c:v>0.0264550810823037</c:v>
                </c:pt>
                <c:pt idx="102">
                  <c:v>0.0266288229726725</c:v>
                </c:pt>
                <c:pt idx="103">
                  <c:v>0.0267991616482865</c:v>
                </c:pt>
                <c:pt idx="104">
                  <c:v>0.0269661950043396</c:v>
                </c:pt>
                <c:pt idx="105">
                  <c:v>0.0271300172419063</c:v>
                </c:pt>
                <c:pt idx="106">
                  <c:v>0.0272907190428323</c:v>
                </c:pt>
                <c:pt idx="107">
                  <c:v>0.0274483877348248</c:v>
                </c:pt>
                <c:pt idx="108">
                  <c:v>0.0276031074473789</c:v>
                </c:pt>
                <c:pt idx="109">
                  <c:v>0.0277549592591265</c:v>
                </c:pt>
                <c:pt idx="110">
                  <c:v>0.0279040213371559</c:v>
                </c:pt>
                <c:pt idx="111">
                  <c:v>0.0280503690688072</c:v>
                </c:pt>
                <c:pt idx="112">
                  <c:v>0.0281940751864139</c:v>
                </c:pt>
                <c:pt idx="113">
                  <c:v>0.0283352098854281</c:v>
                </c:pt>
                <c:pt idx="114">
                  <c:v>0.0284738409363355</c:v>
                </c:pt>
                <c:pt idx="115">
                  <c:v>0.0286100337907378</c:v>
                </c:pt>
                <c:pt idx="116">
                  <c:v>0.0287438516819559</c:v>
                </c:pt>
                <c:pt idx="117">
                  <c:v>0.0288753557204798</c:v>
                </c:pt>
                <c:pt idx="118">
                  <c:v>0.0290046049845724</c:v>
                </c:pt>
                <c:pt idx="119">
                  <c:v>0.0291316566063121</c:v>
                </c:pt>
                <c:pt idx="120">
                  <c:v>0.0292565658533399</c:v>
                </c:pt>
                <c:pt idx="121">
                  <c:v>0.0293793862065598</c:v>
                </c:pt>
                <c:pt idx="122">
                  <c:v>0.0295001694340248</c:v>
                </c:pt>
                <c:pt idx="123">
                  <c:v>0.0296189656612257</c:v>
                </c:pt>
                <c:pt idx="124">
                  <c:v>0.0297358234379858</c:v>
                </c:pt>
                <c:pt idx="125">
                  <c:v>0.029850789802151</c:v>
                </c:pt>
                <c:pt idx="126">
                  <c:v>0.0299639103402549</c:v>
                </c:pt>
                <c:pt idx="127">
                  <c:v>0.0300752292453236</c:v>
                </c:pt>
                <c:pt idx="128">
                  <c:v>0.0301847893719793</c:v>
                </c:pt>
                <c:pt idx="129">
                  <c:v>0.0302926322889864</c:v>
                </c:pt>
                <c:pt idx="130">
                  <c:v>0.0303987983293802</c:v>
                </c:pt>
                <c:pt idx="131">
                  <c:v>0.0305033266383069</c:v>
                </c:pt>
                <c:pt idx="132">
                  <c:v>0.0306062552186952</c:v>
                </c:pt>
                <c:pt idx="133">
                  <c:v>0.0307076209748752</c:v>
                </c:pt>
                <c:pt idx="134">
                  <c:v>0.030807459754251</c:v>
                </c:pt>
                <c:pt idx="135">
                  <c:v>0.0309058063871286</c:v>
                </c:pt>
                <c:pt idx="136">
                  <c:v>0.0310026947247931</c:v>
                </c:pt>
                <c:pt idx="137">
                  <c:v>0.0310981576759261</c:v>
                </c:pt>
                <c:pt idx="138">
                  <c:v>0.0311922272414467</c:v>
                </c:pt>
                <c:pt idx="139">
                  <c:v>0.0312849345478557</c:v>
                </c:pt>
                <c:pt idx="140">
                  <c:v>0.0313763098791573</c:v>
                </c:pt>
                <c:pt idx="141">
                  <c:v>0.0314663827074315</c:v>
                </c:pt>
                <c:pt idx="142">
                  <c:v>0.0315551817221197</c:v>
                </c:pt>
                <c:pt idx="143">
                  <c:v>0.0316427348580905</c:v>
                </c:pt>
                <c:pt idx="144">
                  <c:v>0.0317290693225429</c:v>
                </c:pt>
                <c:pt idx="145">
                  <c:v>0.0318142116208034</c:v>
                </c:pt>
                <c:pt idx="146">
                  <c:v>0.0318981875810707</c:v>
                </c:pt>
                <c:pt idx="147">
                  <c:v>0.0319810223781577</c:v>
                </c:pt>
                <c:pt idx="148">
                  <c:v>0.0320627405562791</c:v>
                </c:pt>
                <c:pt idx="149">
                  <c:v>0.0321433660509275</c:v>
                </c:pt>
                <c:pt idx="150">
                  <c:v>0.0322229222098838</c:v>
                </c:pt>
                <c:pt idx="151">
                  <c:v>0.0323014318133989</c:v>
                </c:pt>
                <c:pt idx="152">
                  <c:v>0.0323789170935878</c:v>
                </c:pt>
                <c:pt idx="153">
                  <c:v>0.0324553997530696</c:v>
                </c:pt>
                <c:pt idx="154">
                  <c:v>0.0325309009828903</c:v>
                </c:pt>
                <c:pt idx="155">
                  <c:v>0.0326054414797588</c:v>
                </c:pt>
                <c:pt idx="156">
                  <c:v>0.0326790414626278</c:v>
                </c:pt>
                <c:pt idx="157">
                  <c:v>0.0327517206886503</c:v>
                </c:pt>
                <c:pt idx="158">
                  <c:v>0.0328234984685368</c:v>
                </c:pt>
                <c:pt idx="159">
                  <c:v>0.0328943936813417</c:v>
                </c:pt>
                <c:pt idx="160">
                  <c:v>0.0329644247887035</c:v>
                </c:pt>
                <c:pt idx="161">
                  <c:v>0.0330336098485623</c:v>
                </c:pt>
                <c:pt idx="162">
                  <c:v>0.033101966528378</c:v>
                </c:pt>
                <c:pt idx="163">
                  <c:v>0.0331695121178696</c:v>
                </c:pt>
                <c:pt idx="164">
                  <c:v>0.0332362635412981</c:v>
                </c:pt>
                <c:pt idx="165">
                  <c:v>0.0333022373693098</c:v>
                </c:pt>
                <c:pt idx="166">
                  <c:v>0.033367449830362</c:v>
                </c:pt>
                <c:pt idx="167">
                  <c:v>0.0334319168217449</c:v>
                </c:pt>
                <c:pt idx="168">
                  <c:v>0.0334956539202209</c:v>
                </c:pt>
                <c:pt idx="169">
                  <c:v>0.0335586763922932</c:v>
                </c:pt>
                <c:pt idx="170">
                  <c:v>0.0336209992041223</c:v>
                </c:pt>
                <c:pt idx="171">
                  <c:v>0.033682637031103</c:v>
                </c:pt>
                <c:pt idx="172">
                  <c:v>0.0337436042671165</c:v>
                </c:pt>
                <c:pt idx="173">
                  <c:v>0.0338039150334718</c:v>
                </c:pt>
                <c:pt idx="174">
                  <c:v>0.0338635831875477</c:v>
                </c:pt>
                <c:pt idx="175">
                  <c:v>0.0339226223311471</c:v>
                </c:pt>
                <c:pt idx="176">
                  <c:v>0.0339810458185786</c:v>
                </c:pt>
                <c:pt idx="177">
                  <c:v>0.0340388667644711</c:v>
                </c:pt>
                <c:pt idx="178">
                  <c:v>0.034096098051337</c:v>
                </c:pt>
                <c:pt idx="179">
                  <c:v>0.0341527523368915</c:v>
                </c:pt>
                <c:pt idx="180">
                  <c:v>0.0342088420611374</c:v>
                </c:pt>
                <c:pt idx="181">
                  <c:v>0.0342643794532258</c:v>
                </c:pt>
                <c:pt idx="182">
                  <c:v>0.0343193765381017</c:v>
                </c:pt>
                <c:pt idx="183">
                  <c:v>0.0343738451429414</c:v>
                </c:pt>
                <c:pt idx="184">
                  <c:v>0.0344277969033911</c:v>
                </c:pt>
                <c:pt idx="185">
                  <c:v>0.0344812432696143</c:v>
                </c:pt>
                <c:pt idx="186">
                  <c:v>0.034534195512155</c:v>
                </c:pt>
                <c:pt idx="187">
                  <c:v>0.034586664727624</c:v>
                </c:pt>
                <c:pt idx="188">
                  <c:v>0.0346386618442149</c:v>
                </c:pt>
                <c:pt idx="189">
                  <c:v>0.0346901976270578</c:v>
                </c:pt>
                <c:pt idx="190">
                  <c:v>0.0347412826834133</c:v>
                </c:pt>
                <c:pt idx="191">
                  <c:v>0.0347919274677183</c:v>
                </c:pt>
                <c:pt idx="192">
                  <c:v>0.034842142286483</c:v>
                </c:pt>
                <c:pt idx="193">
                  <c:v>0.0348919373030512</c:v>
                </c:pt>
                <c:pt idx="194">
                  <c:v>0.0349413225422236</c:v>
                </c:pt>
                <c:pt idx="195">
                  <c:v>0.034990307894752</c:v>
                </c:pt>
                <c:pt idx="196">
                  <c:v>0.0350389031217101</c:v>
                </c:pt>
                <c:pt idx="197">
                  <c:v>0.0350871178587425</c:v>
                </c:pt>
                <c:pt idx="198">
                  <c:v>0.0351349616201999</c:v>
                </c:pt>
                <c:pt idx="199">
                  <c:v>0.035182443803162</c:v>
                </c:pt>
                <c:pt idx="200">
                  <c:v>0.0352295736913548</c:v>
                </c:pt>
                <c:pt idx="201">
                  <c:v>0.0352763604589634</c:v>
                </c:pt>
                <c:pt idx="202">
                  <c:v>0.0353228131743481</c:v>
                </c:pt>
                <c:pt idx="203">
                  <c:v>0.0353689408036628</c:v>
                </c:pt>
                <c:pt idx="204">
                  <c:v>0.0354147522143832</c:v>
                </c:pt>
                <c:pt idx="205">
                  <c:v>0.0354602561787478</c:v>
                </c:pt>
                <c:pt idx="206">
                  <c:v>0.0355054613771116</c:v>
                </c:pt>
                <c:pt idx="207">
                  <c:v>0.03555037640122</c:v>
                </c:pt>
                <c:pt idx="208">
                  <c:v>0.0355950097574044</c:v>
                </c:pt>
                <c:pt idx="209">
                  <c:v>0.0356393698697011</c:v>
                </c:pt>
                <c:pt idx="210">
                  <c:v>0.0356834650828988</c:v>
                </c:pt>
                <c:pt idx="211">
                  <c:v>0.0357273036655155</c:v>
                </c:pt>
                <c:pt idx="212">
                  <c:v>0.0357708938127094</c:v>
                </c:pt>
                <c:pt idx="213">
                  <c:v>0.0358142436491248</c:v>
                </c:pt>
                <c:pt idx="214">
                  <c:v>0.0358573612316747</c:v>
                </c:pt>
                <c:pt idx="215">
                  <c:v>0.035900254552268</c:v>
                </c:pt>
                <c:pt idx="216">
                  <c:v>0.0359429315404745</c:v>
                </c:pt>
                <c:pt idx="217">
                  <c:v>0.0359854000661396</c:v>
                </c:pt>
                <c:pt idx="218">
                  <c:v>0.0360276679419433</c:v>
                </c:pt>
                <c:pt idx="219">
                  <c:v>0.0360697429259112</c:v>
                </c:pt>
                <c:pt idx="220">
                  <c:v>0.0361116327238758</c:v>
                </c:pt>
                <c:pt idx="221">
                  <c:v>0.0361533449918919</c:v>
                </c:pt>
                <c:pt idx="222">
                  <c:v>0.0361948873386085</c:v>
                </c:pt>
                <c:pt idx="223">
                  <c:v>0.0362362673275969</c:v>
                </c:pt>
                <c:pt idx="224">
                  <c:v>0.0362774924796406</c:v>
                </c:pt>
                <c:pt idx="225">
                  <c:v>0.036318570274985</c:v>
                </c:pt>
                <c:pt idx="226">
                  <c:v>0.0363595081555491</c:v>
                </c:pt>
                <c:pt idx="227">
                  <c:v>0.0364003135271058</c:v>
                </c:pt>
                <c:pt idx="228">
                  <c:v>0.0364409937614262</c:v>
                </c:pt>
                <c:pt idx="229">
                  <c:v>0.0364815561983909</c:v>
                </c:pt>
                <c:pt idx="230">
                  <c:v>0.0365220081480758</c:v>
                </c:pt>
                <c:pt idx="231">
                  <c:v>0.0365623568928035</c:v>
                </c:pt>
                <c:pt idx="232">
                  <c:v>0.0366026096891736</c:v>
                </c:pt>
                <c:pt idx="233">
                  <c:v>0.0366427737700617</c:v>
                </c:pt>
                <c:pt idx="234">
                  <c:v>0.0366828563465993</c:v>
                </c:pt>
                <c:pt idx="235">
                  <c:v>0.0367228646101286</c:v>
                </c:pt>
                <c:pt idx="236">
                  <c:v>0.0367628057341362</c:v>
                </c:pt>
                <c:pt idx="237">
                  <c:v>0.0368026868761681</c:v>
                </c:pt>
                <c:pt idx="238">
                  <c:v>0.0368425151797258</c:v>
                </c:pt>
                <c:pt idx="239">
                  <c:v>0.0368822977761445</c:v>
                </c:pt>
                <c:pt idx="240">
                  <c:v>0.0369220417864583</c:v>
                </c:pt>
                <c:pt idx="241">
                  <c:v>0.0369617543232483</c:v>
                </c:pt>
                <c:pt idx="242">
                  <c:v>0.0370014424924785</c:v>
                </c:pt>
                <c:pt idx="243">
                  <c:v>0.0370411133953206</c:v>
                </c:pt>
                <c:pt idx="244">
                  <c:v>0.0370807741299686</c:v>
                </c:pt>
                <c:pt idx="245">
                  <c:v>0.0371204317934424</c:v>
                </c:pt>
                <c:pt idx="246">
                  <c:v>0.0371600934833858</c:v>
                </c:pt>
                <c:pt idx="247">
                  <c:v>0.0371997662998565</c:v>
                </c:pt>
                <c:pt idx="248">
                  <c:v>0.0372394573471104</c:v>
                </c:pt>
                <c:pt idx="249">
                  <c:v>0.0372791737353832</c:v>
                </c:pt>
                <c:pt idx="250">
                  <c:v>0.0373189225826674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7144272"/>
        <c:axId val="2016647936"/>
      </c:scatterChart>
      <c:valAx>
        <c:axId val="2017144272"/>
        <c:scaling>
          <c:orientation val="minMax"/>
          <c:min val="0.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en-US"/>
                  <a:t>Time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CN"/>
          </a:p>
        </c:txPr>
        <c:crossAx val="2016647936"/>
        <c:crosses val="autoZero"/>
        <c:crossBetween val="midCat"/>
      </c:valAx>
      <c:valAx>
        <c:axId val="2016647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altLang="en-US"/>
                  <a:t>Interest Rate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2017144272"/>
        <c:crosses val="autoZero"/>
        <c:crossBetween val="midCat"/>
      </c:valAx>
    </c:plotArea>
    <c:plotVisOnly val="1"/>
    <c:dispBlanksAs val="gap"/>
    <c:showDLblsOverMax val="0"/>
  </c:chart>
  <c:printSettings>
    <c:headerFooter alignWithMargins="0"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en-US"/>
              <a:t>Zero Bond Price / Discount Factor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7117296222664"/>
          <c:y val="0.160606535885819"/>
          <c:w val="0.823061630218688"/>
          <c:h val="0.62727458355404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GraphResult!$C$2</c:f>
              <c:strCache>
                <c:ptCount val="1"/>
                <c:pt idx="0">
                  <c:v>P(0, t)</c:v>
                </c:pt>
              </c:strCache>
            </c:strRef>
          </c:tx>
          <c:marker>
            <c:symbol val="none"/>
          </c:marker>
          <c:xVal>
            <c:numRef>
              <c:f>GraphResult!$A$3:$A$1002</c:f>
              <c:numCache>
                <c:formatCode>General</c:formatCode>
                <c:ptCount val="1000"/>
                <c:pt idx="0">
                  <c:v>0.0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1.900000000000001</c:v>
                </c:pt>
                <c:pt idx="20">
                  <c:v>2.0</c:v>
                </c:pt>
                <c:pt idx="21">
                  <c:v>2.100000000000001</c:v>
                </c:pt>
                <c:pt idx="22">
                  <c:v>2.200000000000001</c:v>
                </c:pt>
                <c:pt idx="23">
                  <c:v>2.300000000000001</c:v>
                </c:pt>
                <c:pt idx="24">
                  <c:v>2.400000000000001</c:v>
                </c:pt>
                <c:pt idx="25">
                  <c:v>2.500000000000001</c:v>
                </c:pt>
                <c:pt idx="26">
                  <c:v>2.600000000000001</c:v>
                </c:pt>
                <c:pt idx="27">
                  <c:v>2.700000000000001</c:v>
                </c:pt>
                <c:pt idx="28">
                  <c:v>2.800000000000001</c:v>
                </c:pt>
                <c:pt idx="29">
                  <c:v>2.900000000000001</c:v>
                </c:pt>
                <c:pt idx="30">
                  <c:v>3.000000000000001</c:v>
                </c:pt>
                <c:pt idx="31">
                  <c:v>3.100000000000001</c:v>
                </c:pt>
                <c:pt idx="32">
                  <c:v>3.200000000000001</c:v>
                </c:pt>
                <c:pt idx="33">
                  <c:v>3.300000000000002</c:v>
                </c:pt>
                <c:pt idx="34">
                  <c:v>3.400000000000002</c:v>
                </c:pt>
                <c:pt idx="35">
                  <c:v>3.500000000000002</c:v>
                </c:pt>
                <c:pt idx="36">
                  <c:v>3.600000000000002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</c:v>
                </c:pt>
                <c:pt idx="40">
                  <c:v>4.000000000000002</c:v>
                </c:pt>
                <c:pt idx="41">
                  <c:v>4.100000000000001</c:v>
                </c:pt>
                <c:pt idx="42">
                  <c:v>4.200000000000001</c:v>
                </c:pt>
                <c:pt idx="43">
                  <c:v>4.300000000000001</c:v>
                </c:pt>
                <c:pt idx="44">
                  <c:v>4.4</c:v>
                </c:pt>
                <c:pt idx="45">
                  <c:v>4.5</c:v>
                </c:pt>
                <c:pt idx="46">
                  <c:v>4.6</c:v>
                </c:pt>
                <c:pt idx="47">
                  <c:v>4.699999999999999</c:v>
                </c:pt>
                <c:pt idx="48">
                  <c:v>4.799999999999999</c:v>
                </c:pt>
                <c:pt idx="49">
                  <c:v>4.899999999999999</c:v>
                </c:pt>
                <c:pt idx="50">
                  <c:v>4.999999999999998</c:v>
                </c:pt>
                <c:pt idx="51">
                  <c:v>5.099999999999998</c:v>
                </c:pt>
                <c:pt idx="52">
                  <c:v>5.199999999999997</c:v>
                </c:pt>
                <c:pt idx="53">
                  <c:v>5.299999999999997</c:v>
                </c:pt>
                <c:pt idx="54">
                  <c:v>5.399999999999997</c:v>
                </c:pt>
                <c:pt idx="55">
                  <c:v>5.499999999999996</c:v>
                </c:pt>
                <c:pt idx="56">
                  <c:v>5.599999999999996</c:v>
                </c:pt>
                <c:pt idx="57">
                  <c:v>5.699999999999996</c:v>
                </c:pt>
                <c:pt idx="58">
                  <c:v>5.799999999999995</c:v>
                </c:pt>
                <c:pt idx="59">
                  <c:v>5.899999999999995</c:v>
                </c:pt>
                <c:pt idx="60">
                  <c:v>5.999999999999994</c:v>
                </c:pt>
                <c:pt idx="61">
                  <c:v>6.099999999999994</c:v>
                </c:pt>
                <c:pt idx="62">
                  <c:v>6.199999999999994</c:v>
                </c:pt>
                <c:pt idx="63">
                  <c:v>6.299999999999994</c:v>
                </c:pt>
                <c:pt idx="64">
                  <c:v>6.399999999999993</c:v>
                </c:pt>
                <c:pt idx="65">
                  <c:v>6.499999999999993</c:v>
                </c:pt>
                <c:pt idx="66">
                  <c:v>6.599999999999993</c:v>
                </c:pt>
                <c:pt idx="67">
                  <c:v>6.699999999999992</c:v>
                </c:pt>
                <c:pt idx="68">
                  <c:v>6.799999999999992</c:v>
                </c:pt>
                <c:pt idx="69">
                  <c:v>6.899999999999991</c:v>
                </c:pt>
                <c:pt idx="70">
                  <c:v>6.999999999999991</c:v>
                </c:pt>
                <c:pt idx="71">
                  <c:v>7.099999999999991</c:v>
                </c:pt>
                <c:pt idx="72">
                  <c:v>7.19999999999999</c:v>
                </c:pt>
                <c:pt idx="73">
                  <c:v>7.29999999999999</c:v>
                </c:pt>
                <c:pt idx="74">
                  <c:v>7.39999999999999</c:v>
                </c:pt>
                <c:pt idx="75">
                  <c:v>7.49999999999999</c:v>
                </c:pt>
                <c:pt idx="76">
                  <c:v>7.599999999999989</c:v>
                </c:pt>
                <c:pt idx="77">
                  <c:v>7.699999999999989</c:v>
                </c:pt>
                <c:pt idx="78">
                  <c:v>7.799999999999988</c:v>
                </c:pt>
                <c:pt idx="79">
                  <c:v>7.899999999999988</c:v>
                </c:pt>
                <c:pt idx="80">
                  <c:v>7.999999999999987</c:v>
                </c:pt>
                <c:pt idx="81">
                  <c:v>8.099999999999987</c:v>
                </c:pt>
                <c:pt idx="82">
                  <c:v>8.199999999999986</c:v>
                </c:pt>
                <c:pt idx="83">
                  <c:v>8.299999999999986</c:v>
                </c:pt>
                <c:pt idx="84">
                  <c:v>8.399999999999986</c:v>
                </c:pt>
                <c:pt idx="85">
                  <c:v>8.499999999999985</c:v>
                </c:pt>
                <c:pt idx="86">
                  <c:v>8.599999999999985</c:v>
                </c:pt>
                <c:pt idx="87">
                  <c:v>8.699999999999984</c:v>
                </c:pt>
                <c:pt idx="88">
                  <c:v>8.799999999999984</c:v>
                </c:pt>
                <c:pt idx="89">
                  <c:v>8.899999999999984</c:v>
                </c:pt>
                <c:pt idx="90">
                  <c:v>8.999999999999983</c:v>
                </c:pt>
                <c:pt idx="91">
                  <c:v>9.099999999999983</c:v>
                </c:pt>
                <c:pt idx="92">
                  <c:v>9.199999999999983</c:v>
                </c:pt>
                <c:pt idx="93">
                  <c:v>9.299999999999982</c:v>
                </c:pt>
                <c:pt idx="94">
                  <c:v>9.39999999999998</c:v>
                </c:pt>
                <c:pt idx="95">
                  <c:v>9.49999999999998</c:v>
                </c:pt>
                <c:pt idx="96">
                  <c:v>9.59999999999998</c:v>
                </c:pt>
                <c:pt idx="97">
                  <c:v>9.69999999999998</c:v>
                </c:pt>
                <c:pt idx="98">
                  <c:v>9.79999999999998</c:v>
                </c:pt>
                <c:pt idx="99">
                  <c:v>9.89999999999998</c:v>
                </c:pt>
                <c:pt idx="100">
                  <c:v>9.99999999999998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10.29999999999998</c:v>
                </c:pt>
                <c:pt idx="104">
                  <c:v>10.39999999999998</c:v>
                </c:pt>
                <c:pt idx="105">
                  <c:v>10.49999999999998</c:v>
                </c:pt>
                <c:pt idx="106">
                  <c:v>10.59999999999998</c:v>
                </c:pt>
                <c:pt idx="107">
                  <c:v>10.69999999999998</c:v>
                </c:pt>
                <c:pt idx="108">
                  <c:v>10.79999999999998</c:v>
                </c:pt>
                <c:pt idx="109">
                  <c:v>10.89999999999998</c:v>
                </c:pt>
                <c:pt idx="110">
                  <c:v>10.99999999999998</c:v>
                </c:pt>
                <c:pt idx="111">
                  <c:v>11.09999999999998</c:v>
                </c:pt>
                <c:pt idx="112">
                  <c:v>11.19999999999998</c:v>
                </c:pt>
                <c:pt idx="113">
                  <c:v>11.29999999999998</c:v>
                </c:pt>
                <c:pt idx="114">
                  <c:v>11.39999999999998</c:v>
                </c:pt>
                <c:pt idx="115">
                  <c:v>11.49999999999998</c:v>
                </c:pt>
                <c:pt idx="116">
                  <c:v>11.59999999999997</c:v>
                </c:pt>
                <c:pt idx="117">
                  <c:v>11.69999999999997</c:v>
                </c:pt>
                <c:pt idx="118">
                  <c:v>11.79999999999997</c:v>
                </c:pt>
                <c:pt idx="119">
                  <c:v>11.89999999999997</c:v>
                </c:pt>
                <c:pt idx="120">
                  <c:v>11.99999999999997</c:v>
                </c:pt>
                <c:pt idx="121">
                  <c:v>12.09999999999997</c:v>
                </c:pt>
                <c:pt idx="122">
                  <c:v>12.19999999999997</c:v>
                </c:pt>
                <c:pt idx="123">
                  <c:v>12.29999999999997</c:v>
                </c:pt>
                <c:pt idx="124">
                  <c:v>12.39999999999997</c:v>
                </c:pt>
                <c:pt idx="125">
                  <c:v>12.49999999999997</c:v>
                </c:pt>
                <c:pt idx="126">
                  <c:v>12.59999999999997</c:v>
                </c:pt>
                <c:pt idx="127">
                  <c:v>12.69999999999997</c:v>
                </c:pt>
                <c:pt idx="128">
                  <c:v>12.79999999999997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13.09999999999997</c:v>
                </c:pt>
                <c:pt idx="132">
                  <c:v>13.19999999999997</c:v>
                </c:pt>
                <c:pt idx="133">
                  <c:v>13.29999999999997</c:v>
                </c:pt>
                <c:pt idx="134">
                  <c:v>13.39999999999997</c:v>
                </c:pt>
                <c:pt idx="135">
                  <c:v>13.49999999999997</c:v>
                </c:pt>
                <c:pt idx="136">
                  <c:v>13.59999999999997</c:v>
                </c:pt>
                <c:pt idx="137">
                  <c:v>13.69999999999997</c:v>
                </c:pt>
                <c:pt idx="138">
                  <c:v>13.79999999999997</c:v>
                </c:pt>
                <c:pt idx="139">
                  <c:v>13.89999999999997</c:v>
                </c:pt>
                <c:pt idx="140">
                  <c:v>13.99999999999997</c:v>
                </c:pt>
                <c:pt idx="141">
                  <c:v>14.09999999999997</c:v>
                </c:pt>
                <c:pt idx="142">
                  <c:v>14.19999999999997</c:v>
                </c:pt>
                <c:pt idx="143">
                  <c:v>14.29999999999997</c:v>
                </c:pt>
                <c:pt idx="144">
                  <c:v>14.39999999999996</c:v>
                </c:pt>
                <c:pt idx="145">
                  <c:v>14.49999999999996</c:v>
                </c:pt>
                <c:pt idx="146">
                  <c:v>14.59999999999996</c:v>
                </c:pt>
                <c:pt idx="147">
                  <c:v>14.69999999999996</c:v>
                </c:pt>
                <c:pt idx="148">
                  <c:v>14.79999999999996</c:v>
                </c:pt>
                <c:pt idx="149">
                  <c:v>14.89999999999996</c:v>
                </c:pt>
                <c:pt idx="150">
                  <c:v>14.99999999999996</c:v>
                </c:pt>
                <c:pt idx="151">
                  <c:v>15.09999999999996</c:v>
                </c:pt>
                <c:pt idx="152">
                  <c:v>15.19999999999996</c:v>
                </c:pt>
                <c:pt idx="153">
                  <c:v>15.29999999999996</c:v>
                </c:pt>
                <c:pt idx="154">
                  <c:v>15.39999999999996</c:v>
                </c:pt>
                <c:pt idx="155">
                  <c:v>15.49999999999996</c:v>
                </c:pt>
                <c:pt idx="156">
                  <c:v>15.59999999999996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15.89999999999996</c:v>
                </c:pt>
                <c:pt idx="160">
                  <c:v>15.99999999999996</c:v>
                </c:pt>
                <c:pt idx="161">
                  <c:v>16.09999999999996</c:v>
                </c:pt>
                <c:pt idx="162">
                  <c:v>16.19999999999996</c:v>
                </c:pt>
                <c:pt idx="163">
                  <c:v>16.29999999999996</c:v>
                </c:pt>
                <c:pt idx="164">
                  <c:v>16.39999999999996</c:v>
                </c:pt>
                <c:pt idx="165">
                  <c:v>16.49999999999996</c:v>
                </c:pt>
                <c:pt idx="166">
                  <c:v>16.59999999999997</c:v>
                </c:pt>
                <c:pt idx="167">
                  <c:v>16.69999999999997</c:v>
                </c:pt>
                <c:pt idx="168">
                  <c:v>16.79999999999997</c:v>
                </c:pt>
                <c:pt idx="169">
                  <c:v>16.89999999999997</c:v>
                </c:pt>
                <c:pt idx="170">
                  <c:v>16.99999999999997</c:v>
                </c:pt>
                <c:pt idx="171">
                  <c:v>17.09999999999997</c:v>
                </c:pt>
                <c:pt idx="172">
                  <c:v>17.19999999999997</c:v>
                </c:pt>
                <c:pt idx="173">
                  <c:v>17.29999999999998</c:v>
                </c:pt>
                <c:pt idx="174">
                  <c:v>17.39999999999998</c:v>
                </c:pt>
                <c:pt idx="175">
                  <c:v>17.49999999999998</c:v>
                </c:pt>
                <c:pt idx="176">
                  <c:v>17.59999999999998</c:v>
                </c:pt>
                <c:pt idx="177">
                  <c:v>17.69999999999998</c:v>
                </c:pt>
                <c:pt idx="178">
                  <c:v>17.79999999999998</c:v>
                </c:pt>
                <c:pt idx="179">
                  <c:v>17.89999999999998</c:v>
                </c:pt>
                <c:pt idx="180">
                  <c:v>17.99999999999999</c:v>
                </c:pt>
                <c:pt idx="181">
                  <c:v>18.09999999999999</c:v>
                </c:pt>
                <c:pt idx="182">
                  <c:v>18.19999999999999</c:v>
                </c:pt>
                <c:pt idx="183">
                  <c:v>18.29999999999999</c:v>
                </c:pt>
                <c:pt idx="184">
                  <c:v>18.39999999999999</c:v>
                </c:pt>
                <c:pt idx="185">
                  <c:v>18.49999999999999</c:v>
                </c:pt>
                <c:pt idx="186">
                  <c:v>18.59999999999999</c:v>
                </c:pt>
                <c:pt idx="187">
                  <c:v>18.7</c:v>
                </c:pt>
                <c:pt idx="188">
                  <c:v>18.8</c:v>
                </c:pt>
                <c:pt idx="189">
                  <c:v>18.9</c:v>
                </c:pt>
                <c:pt idx="190">
                  <c:v>19.0</c:v>
                </c:pt>
                <c:pt idx="191">
                  <c:v>19.1</c:v>
                </c:pt>
                <c:pt idx="192">
                  <c:v>19.2</c:v>
                </c:pt>
                <c:pt idx="193">
                  <c:v>19.3</c:v>
                </c:pt>
                <c:pt idx="194">
                  <c:v>19.40000000000001</c:v>
                </c:pt>
                <c:pt idx="195">
                  <c:v>19.50000000000001</c:v>
                </c:pt>
                <c:pt idx="196">
                  <c:v>19.60000000000001</c:v>
                </c:pt>
                <c:pt idx="197">
                  <c:v>19.70000000000001</c:v>
                </c:pt>
                <c:pt idx="198">
                  <c:v>19.80000000000001</c:v>
                </c:pt>
                <c:pt idx="199">
                  <c:v>19.90000000000001</c:v>
                </c:pt>
                <c:pt idx="200">
                  <c:v>20.00000000000001</c:v>
                </c:pt>
                <c:pt idx="201">
                  <c:v>20.10000000000002</c:v>
                </c:pt>
                <c:pt idx="202">
                  <c:v>20.20000000000002</c:v>
                </c:pt>
                <c:pt idx="203">
                  <c:v>20.30000000000002</c:v>
                </c:pt>
                <c:pt idx="204">
                  <c:v>20.40000000000002</c:v>
                </c:pt>
                <c:pt idx="205">
                  <c:v>20.50000000000002</c:v>
                </c:pt>
                <c:pt idx="206">
                  <c:v>20.60000000000002</c:v>
                </c:pt>
                <c:pt idx="207">
                  <c:v>20.70000000000002</c:v>
                </c:pt>
                <c:pt idx="208">
                  <c:v>20.80000000000003</c:v>
                </c:pt>
                <c:pt idx="209">
                  <c:v>20.90000000000003</c:v>
                </c:pt>
                <c:pt idx="210">
                  <c:v>21.00000000000003</c:v>
                </c:pt>
                <c:pt idx="211">
                  <c:v>21.10000000000003</c:v>
                </c:pt>
                <c:pt idx="212">
                  <c:v>21.20000000000003</c:v>
                </c:pt>
                <c:pt idx="213">
                  <c:v>21.30000000000003</c:v>
                </c:pt>
                <c:pt idx="214">
                  <c:v>21.40000000000003</c:v>
                </c:pt>
                <c:pt idx="215">
                  <c:v>21.50000000000004</c:v>
                </c:pt>
                <c:pt idx="216">
                  <c:v>21.60000000000004</c:v>
                </c:pt>
                <c:pt idx="217">
                  <c:v>21.70000000000004</c:v>
                </c:pt>
                <c:pt idx="218">
                  <c:v>21.80000000000004</c:v>
                </c:pt>
                <c:pt idx="219">
                  <c:v>21.90000000000004</c:v>
                </c:pt>
                <c:pt idx="220">
                  <c:v>22.00000000000004</c:v>
                </c:pt>
                <c:pt idx="221">
                  <c:v>22.10000000000004</c:v>
                </c:pt>
                <c:pt idx="222">
                  <c:v>22.20000000000005</c:v>
                </c:pt>
                <c:pt idx="223">
                  <c:v>22.30000000000005</c:v>
                </c:pt>
                <c:pt idx="224">
                  <c:v>22.40000000000005</c:v>
                </c:pt>
                <c:pt idx="225">
                  <c:v>22.50000000000005</c:v>
                </c:pt>
                <c:pt idx="226">
                  <c:v>22.60000000000005</c:v>
                </c:pt>
                <c:pt idx="227">
                  <c:v>22.70000000000005</c:v>
                </c:pt>
                <c:pt idx="228">
                  <c:v>22.80000000000005</c:v>
                </c:pt>
                <c:pt idx="229">
                  <c:v>22.90000000000006</c:v>
                </c:pt>
                <c:pt idx="230">
                  <c:v>23.00000000000006</c:v>
                </c:pt>
                <c:pt idx="231">
                  <c:v>23.10000000000006</c:v>
                </c:pt>
                <c:pt idx="232">
                  <c:v>23.20000000000006</c:v>
                </c:pt>
                <c:pt idx="233">
                  <c:v>23.30000000000006</c:v>
                </c:pt>
                <c:pt idx="234">
                  <c:v>23.40000000000006</c:v>
                </c:pt>
                <c:pt idx="235">
                  <c:v>23.50000000000006</c:v>
                </c:pt>
                <c:pt idx="236">
                  <c:v>23.60000000000007</c:v>
                </c:pt>
                <c:pt idx="237">
                  <c:v>23.70000000000007</c:v>
                </c:pt>
                <c:pt idx="238">
                  <c:v>23.80000000000007</c:v>
                </c:pt>
                <c:pt idx="239">
                  <c:v>23.90000000000007</c:v>
                </c:pt>
                <c:pt idx="240">
                  <c:v>24.00000000000007</c:v>
                </c:pt>
                <c:pt idx="241">
                  <c:v>24.10000000000007</c:v>
                </c:pt>
                <c:pt idx="242">
                  <c:v>24.20000000000007</c:v>
                </c:pt>
                <c:pt idx="243">
                  <c:v>24.30000000000008</c:v>
                </c:pt>
                <c:pt idx="244">
                  <c:v>24.40000000000008</c:v>
                </c:pt>
                <c:pt idx="245">
                  <c:v>24.50000000000008</c:v>
                </c:pt>
                <c:pt idx="246">
                  <c:v>24.60000000000008</c:v>
                </c:pt>
                <c:pt idx="247">
                  <c:v>24.70000000000008</c:v>
                </c:pt>
                <c:pt idx="248">
                  <c:v>24.80000000000008</c:v>
                </c:pt>
                <c:pt idx="249">
                  <c:v>24.90000000000008</c:v>
                </c:pt>
                <c:pt idx="250">
                  <c:v>25.00000000000009</c:v>
                </c:pt>
              </c:numCache>
            </c:numRef>
          </c:xVal>
          <c:yVal>
            <c:numRef>
              <c:f>GraphResult!$C$3:$C$1002</c:f>
              <c:numCache>
                <c:formatCode>General</c:formatCode>
                <c:ptCount val="1000"/>
                <c:pt idx="0">
                  <c:v>1.0</c:v>
                </c:pt>
                <c:pt idx="1">
                  <c:v>0.999774482152764</c:v>
                </c:pt>
                <c:pt idx="2">
                  <c:v>0.999551341357643</c:v>
                </c:pt>
                <c:pt idx="3">
                  <c:v>0.999326406120426</c:v>
                </c:pt>
                <c:pt idx="4">
                  <c:v>0.999095504946907</c:v>
                </c:pt>
                <c:pt idx="5">
                  <c:v>0.998854466342877</c:v>
                </c:pt>
                <c:pt idx="6">
                  <c:v>0.998599118814126</c:v>
                </c:pt>
                <c:pt idx="7">
                  <c:v>0.998325290866447</c:v>
                </c:pt>
                <c:pt idx="8">
                  <c:v>0.998028811005632</c:v>
                </c:pt>
                <c:pt idx="9">
                  <c:v>0.997705507737471</c:v>
                </c:pt>
                <c:pt idx="10">
                  <c:v>0.997351209567756</c:v>
                </c:pt>
                <c:pt idx="11">
                  <c:v>0.996961745002279</c:v>
                </c:pt>
                <c:pt idx="12">
                  <c:v>0.996532942546832</c:v>
                </c:pt>
                <c:pt idx="13">
                  <c:v>0.996060630707205</c:v>
                </c:pt>
                <c:pt idx="14">
                  <c:v>0.995540637989192</c:v>
                </c:pt>
                <c:pt idx="15">
                  <c:v>0.994968792898582</c:v>
                </c:pt>
                <c:pt idx="16">
                  <c:v>0.994340923941167</c:v>
                </c:pt>
                <c:pt idx="17">
                  <c:v>0.99365285962274</c:v>
                </c:pt>
                <c:pt idx="18">
                  <c:v>0.992900428449091</c:v>
                </c:pt>
                <c:pt idx="19">
                  <c:v>0.992079458926013</c:v>
                </c:pt>
                <c:pt idx="20">
                  <c:v>0.991185779559296</c:v>
                </c:pt>
                <c:pt idx="21">
                  <c:v>0.99021610601939</c:v>
                </c:pt>
                <c:pt idx="22">
                  <c:v>0.989170702635368</c:v>
                </c:pt>
                <c:pt idx="23">
                  <c:v>0.988050720900964</c:v>
                </c:pt>
                <c:pt idx="24">
                  <c:v>0.986857312309908</c:v>
                </c:pt>
                <c:pt idx="25">
                  <c:v>0.985591628355933</c:v>
                </c:pt>
                <c:pt idx="26">
                  <c:v>0.98425482053277</c:v>
                </c:pt>
                <c:pt idx="27">
                  <c:v>0.982848040334151</c:v>
                </c:pt>
                <c:pt idx="28">
                  <c:v>0.981372439253808</c:v>
                </c:pt>
                <c:pt idx="29">
                  <c:v>0.979829168785474</c:v>
                </c:pt>
                <c:pt idx="30">
                  <c:v>0.978219380422878</c:v>
                </c:pt>
                <c:pt idx="31">
                  <c:v>0.976544225659754</c:v>
                </c:pt>
                <c:pt idx="32">
                  <c:v>0.974804855989834</c:v>
                </c:pt>
                <c:pt idx="33">
                  <c:v>0.973002422906849</c:v>
                </c:pt>
                <c:pt idx="34">
                  <c:v>0.971138077904531</c:v>
                </c:pt>
                <c:pt idx="35">
                  <c:v>0.969212972476611</c:v>
                </c:pt>
                <c:pt idx="36">
                  <c:v>0.967228258116822</c:v>
                </c:pt>
                <c:pt idx="37">
                  <c:v>0.965185086318895</c:v>
                </c:pt>
                <c:pt idx="38">
                  <c:v>0.963084608576562</c:v>
                </c:pt>
                <c:pt idx="39">
                  <c:v>0.960927976383556</c:v>
                </c:pt>
                <c:pt idx="40">
                  <c:v>0.958716341233607</c:v>
                </c:pt>
                <c:pt idx="41">
                  <c:v>0.956450854620449</c:v>
                </c:pt>
                <c:pt idx="42">
                  <c:v>0.954132668037811</c:v>
                </c:pt>
                <c:pt idx="43">
                  <c:v>0.951762932979427</c:v>
                </c:pt>
                <c:pt idx="44">
                  <c:v>0.949342800939028</c:v>
                </c:pt>
                <c:pt idx="45">
                  <c:v>0.946873423410345</c:v>
                </c:pt>
                <c:pt idx="46">
                  <c:v>0.944355951887112</c:v>
                </c:pt>
                <c:pt idx="47">
                  <c:v>0.941791537863059</c:v>
                </c:pt>
                <c:pt idx="48">
                  <c:v>0.939181332831919</c:v>
                </c:pt>
                <c:pt idx="49">
                  <c:v>0.936526488287423</c:v>
                </c:pt>
                <c:pt idx="50">
                  <c:v>0.933828155723302</c:v>
                </c:pt>
                <c:pt idx="51">
                  <c:v>0.93108748663329</c:v>
                </c:pt>
                <c:pt idx="52">
                  <c:v>0.928305632511117</c:v>
                </c:pt>
                <c:pt idx="53">
                  <c:v>0.925483744850516</c:v>
                </c:pt>
                <c:pt idx="54">
                  <c:v>0.922622975145218</c:v>
                </c:pt>
                <c:pt idx="55">
                  <c:v>0.919724474888955</c:v>
                </c:pt>
                <c:pt idx="56">
                  <c:v>0.916789395575459</c:v>
                </c:pt>
                <c:pt idx="57">
                  <c:v>0.913818888698462</c:v>
                </c:pt>
                <c:pt idx="58">
                  <c:v>0.910814105751695</c:v>
                </c:pt>
                <c:pt idx="59">
                  <c:v>0.907776198228891</c:v>
                </c:pt>
                <c:pt idx="60">
                  <c:v>0.904706317623781</c:v>
                </c:pt>
                <c:pt idx="61">
                  <c:v>0.901605615430097</c:v>
                </c:pt>
                <c:pt idx="62">
                  <c:v>0.898475243141571</c:v>
                </c:pt>
                <c:pt idx="63">
                  <c:v>0.895316352251935</c:v>
                </c:pt>
                <c:pt idx="64">
                  <c:v>0.89213009425492</c:v>
                </c:pt>
                <c:pt idx="65">
                  <c:v>0.888917620644258</c:v>
                </c:pt>
                <c:pt idx="66">
                  <c:v>0.885680082913681</c:v>
                </c:pt>
                <c:pt idx="67">
                  <c:v>0.882418632556922</c:v>
                </c:pt>
                <c:pt idx="68">
                  <c:v>0.879134421067711</c:v>
                </c:pt>
                <c:pt idx="69">
                  <c:v>0.87582859993978</c:v>
                </c:pt>
                <c:pt idx="70">
                  <c:v>0.872502320666862</c:v>
                </c:pt>
                <c:pt idx="71">
                  <c:v>0.869156734742689</c:v>
                </c:pt>
                <c:pt idx="72">
                  <c:v>0.865792993660991</c:v>
                </c:pt>
                <c:pt idx="73">
                  <c:v>0.862412248915501</c:v>
                </c:pt>
                <c:pt idx="74">
                  <c:v>0.859015651999951</c:v>
                </c:pt>
                <c:pt idx="75">
                  <c:v>0.855604354408072</c:v>
                </c:pt>
                <c:pt idx="76">
                  <c:v>0.852179507633596</c:v>
                </c:pt>
                <c:pt idx="77">
                  <c:v>0.848742263170256</c:v>
                </c:pt>
                <c:pt idx="78">
                  <c:v>0.845293772511782</c:v>
                </c:pt>
                <c:pt idx="79">
                  <c:v>0.841835187151908</c:v>
                </c:pt>
                <c:pt idx="80">
                  <c:v>0.838367658584364</c:v>
                </c:pt>
                <c:pt idx="81">
                  <c:v>0.834892338302882</c:v>
                </c:pt>
                <c:pt idx="82">
                  <c:v>0.831410377801194</c:v>
                </c:pt>
                <c:pt idx="83">
                  <c:v>0.827922928573033</c:v>
                </c:pt>
                <c:pt idx="84">
                  <c:v>0.824431142112129</c:v>
                </c:pt>
                <c:pt idx="85">
                  <c:v>0.820936169912215</c:v>
                </c:pt>
                <c:pt idx="86">
                  <c:v>0.817439163467023</c:v>
                </c:pt>
                <c:pt idx="87">
                  <c:v>0.813941274270283</c:v>
                </c:pt>
                <c:pt idx="88">
                  <c:v>0.81044365381573</c:v>
                </c:pt>
                <c:pt idx="89">
                  <c:v>0.806947453597092</c:v>
                </c:pt>
                <c:pt idx="90">
                  <c:v>0.803453825108104</c:v>
                </c:pt>
                <c:pt idx="91">
                  <c:v>0.799963919842496</c:v>
                </c:pt>
                <c:pt idx="92">
                  <c:v>0.796478889294</c:v>
                </c:pt>
                <c:pt idx="93">
                  <c:v>0.792999884956349</c:v>
                </c:pt>
                <c:pt idx="94">
                  <c:v>0.789528058323274</c:v>
                </c:pt>
                <c:pt idx="95">
                  <c:v>0.786064560888506</c:v>
                </c:pt>
                <c:pt idx="96">
                  <c:v>0.782610544145779</c:v>
                </c:pt>
                <c:pt idx="97">
                  <c:v>0.779167159588822</c:v>
                </c:pt>
                <c:pt idx="98">
                  <c:v>0.775735558711369</c:v>
                </c:pt>
                <c:pt idx="99">
                  <c:v>0.772316893007151</c:v>
                </c:pt>
                <c:pt idx="100">
                  <c:v>0.768912313969901</c:v>
                </c:pt>
                <c:pt idx="101">
                  <c:v>0.765522770100268</c:v>
                </c:pt>
                <c:pt idx="102">
                  <c:v>0.762148397926584</c:v>
                </c:pt>
                <c:pt idx="103">
                  <c:v>0.758789130984096</c:v>
                </c:pt>
                <c:pt idx="104">
                  <c:v>0.755444902808057</c:v>
                </c:pt>
                <c:pt idx="105">
                  <c:v>0.752115646933713</c:v>
                </c:pt>
                <c:pt idx="106">
                  <c:v>0.748801296896315</c:v>
                </c:pt>
                <c:pt idx="107">
                  <c:v>0.745501786231113</c:v>
                </c:pt>
                <c:pt idx="108">
                  <c:v>0.742217048473354</c:v>
                </c:pt>
                <c:pt idx="109">
                  <c:v>0.738947017158291</c:v>
                </c:pt>
                <c:pt idx="110">
                  <c:v>0.73569162582117</c:v>
                </c:pt>
                <c:pt idx="111">
                  <c:v>0.732450807997242</c:v>
                </c:pt>
                <c:pt idx="112">
                  <c:v>0.729224497221756</c:v>
                </c:pt>
                <c:pt idx="113">
                  <c:v>0.726012627029962</c:v>
                </c:pt>
                <c:pt idx="114">
                  <c:v>0.722815130957108</c:v>
                </c:pt>
                <c:pt idx="115">
                  <c:v>0.719631942538446</c:v>
                </c:pt>
                <c:pt idx="116">
                  <c:v>0.716462995309223</c:v>
                </c:pt>
                <c:pt idx="117">
                  <c:v>0.713308222804689</c:v>
                </c:pt>
                <c:pt idx="118">
                  <c:v>0.710167558560094</c:v>
                </c:pt>
                <c:pt idx="119">
                  <c:v>0.707040936110687</c:v>
                </c:pt>
                <c:pt idx="120">
                  <c:v>0.703928288991717</c:v>
                </c:pt>
                <c:pt idx="121">
                  <c:v>0.700829550738434</c:v>
                </c:pt>
                <c:pt idx="122">
                  <c:v>0.697744654886087</c:v>
                </c:pt>
                <c:pt idx="123">
                  <c:v>0.694673534969926</c:v>
                </c:pt>
                <c:pt idx="124">
                  <c:v>0.691616124525199</c:v>
                </c:pt>
                <c:pt idx="125">
                  <c:v>0.688572357087158</c:v>
                </c:pt>
                <c:pt idx="126">
                  <c:v>0.685542166191049</c:v>
                </c:pt>
                <c:pt idx="127">
                  <c:v>0.682525485372125</c:v>
                </c:pt>
                <c:pt idx="128">
                  <c:v>0.679522248165632</c:v>
                </c:pt>
                <c:pt idx="129">
                  <c:v>0.676532388106822</c:v>
                </c:pt>
                <c:pt idx="130">
                  <c:v>0.673555838730944</c:v>
                </c:pt>
                <c:pt idx="131">
                  <c:v>0.670592533573245</c:v>
                </c:pt>
                <c:pt idx="132">
                  <c:v>0.667642406168978</c:v>
                </c:pt>
                <c:pt idx="133">
                  <c:v>0.66470539005339</c:v>
                </c:pt>
                <c:pt idx="134">
                  <c:v>0.661781418761731</c:v>
                </c:pt>
                <c:pt idx="135">
                  <c:v>0.65887042582925</c:v>
                </c:pt>
                <c:pt idx="136">
                  <c:v>0.655972344791198</c:v>
                </c:pt>
                <c:pt idx="137">
                  <c:v>0.653087109182822</c:v>
                </c:pt>
                <c:pt idx="138">
                  <c:v>0.650214652539373</c:v>
                </c:pt>
                <c:pt idx="139">
                  <c:v>0.6473549083961</c:v>
                </c:pt>
                <c:pt idx="140">
                  <c:v>0.644507810288253</c:v>
                </c:pt>
                <c:pt idx="141">
                  <c:v>0.641673291751081</c:v>
                </c:pt>
                <c:pt idx="142">
                  <c:v>0.638851286319832</c:v>
                </c:pt>
                <c:pt idx="143">
                  <c:v>0.636041727529758</c:v>
                </c:pt>
                <c:pt idx="144">
                  <c:v>0.633244548916106</c:v>
                </c:pt>
                <c:pt idx="145">
                  <c:v>0.630459684014127</c:v>
                </c:pt>
                <c:pt idx="146">
                  <c:v>0.627687066359069</c:v>
                </c:pt>
                <c:pt idx="147">
                  <c:v>0.624926629486184</c:v>
                </c:pt>
                <c:pt idx="148">
                  <c:v>0.622178306930719</c:v>
                </c:pt>
                <c:pt idx="149">
                  <c:v>0.619442032227923</c:v>
                </c:pt>
                <c:pt idx="150">
                  <c:v>0.616717738913047</c:v>
                </c:pt>
                <c:pt idx="151">
                  <c:v>0.614005360521341</c:v>
                </c:pt>
                <c:pt idx="152">
                  <c:v>0.611304830588052</c:v>
                </c:pt>
                <c:pt idx="153">
                  <c:v>0.608616082648431</c:v>
                </c:pt>
                <c:pt idx="154">
                  <c:v>0.605939050237728</c:v>
                </c:pt>
                <c:pt idx="155">
                  <c:v>0.60327366689119</c:v>
                </c:pt>
                <c:pt idx="156">
                  <c:v>0.600619866144069</c:v>
                </c:pt>
                <c:pt idx="157">
                  <c:v>0.597977581531613</c:v>
                </c:pt>
                <c:pt idx="158">
                  <c:v>0.595346746589071</c:v>
                </c:pt>
                <c:pt idx="159">
                  <c:v>0.592727294851694</c:v>
                </c:pt>
                <c:pt idx="160">
                  <c:v>0.59011915985473</c:v>
                </c:pt>
                <c:pt idx="161">
                  <c:v>0.587522275133429</c:v>
                </c:pt>
                <c:pt idx="162">
                  <c:v>0.58493657422304</c:v>
                </c:pt>
                <c:pt idx="163">
                  <c:v>0.582361990658814</c:v>
                </c:pt>
                <c:pt idx="164">
                  <c:v>0.579798457975998</c:v>
                </c:pt>
                <c:pt idx="165">
                  <c:v>0.577245909709843</c:v>
                </c:pt>
                <c:pt idx="166">
                  <c:v>0.574704279395596</c:v>
                </c:pt>
                <c:pt idx="167">
                  <c:v>0.572173500568511</c:v>
                </c:pt>
                <c:pt idx="168">
                  <c:v>0.569653506763834</c:v>
                </c:pt>
                <c:pt idx="169">
                  <c:v>0.567144231516814</c:v>
                </c:pt>
                <c:pt idx="170">
                  <c:v>0.564645608362703</c:v>
                </c:pt>
                <c:pt idx="171">
                  <c:v>0.562157570836747</c:v>
                </c:pt>
                <c:pt idx="172">
                  <c:v>0.559680052474199</c:v>
                </c:pt>
                <c:pt idx="173">
                  <c:v>0.557212986810306</c:v>
                </c:pt>
                <c:pt idx="174">
                  <c:v>0.554756307380318</c:v>
                </c:pt>
                <c:pt idx="175">
                  <c:v>0.552309947719486</c:v>
                </c:pt>
                <c:pt idx="176">
                  <c:v>0.549873841363056</c:v>
                </c:pt>
                <c:pt idx="177">
                  <c:v>0.54744792184628</c:v>
                </c:pt>
                <c:pt idx="178">
                  <c:v>0.545032122704408</c:v>
                </c:pt>
                <c:pt idx="179">
                  <c:v>0.542626377472686</c:v>
                </c:pt>
                <c:pt idx="180">
                  <c:v>0.540230619686367</c:v>
                </c:pt>
                <c:pt idx="181">
                  <c:v>0.537844782880699</c:v>
                </c:pt>
                <c:pt idx="182">
                  <c:v>0.535468800590931</c:v>
                </c:pt>
                <c:pt idx="183">
                  <c:v>0.533102606352313</c:v>
                </c:pt>
                <c:pt idx="184">
                  <c:v>0.530746133700093</c:v>
                </c:pt>
                <c:pt idx="185">
                  <c:v>0.528399316169523</c:v>
                </c:pt>
                <c:pt idx="186">
                  <c:v>0.52606208729585</c:v>
                </c:pt>
                <c:pt idx="187">
                  <c:v>0.523734380614324</c:v>
                </c:pt>
                <c:pt idx="188">
                  <c:v>0.521416129660196</c:v>
                </c:pt>
                <c:pt idx="189">
                  <c:v>0.519107267968713</c:v>
                </c:pt>
                <c:pt idx="190">
                  <c:v>0.516807729075127</c:v>
                </c:pt>
                <c:pt idx="191">
                  <c:v>0.514517446514685</c:v>
                </c:pt>
                <c:pt idx="192">
                  <c:v>0.512236353822637</c:v>
                </c:pt>
                <c:pt idx="193">
                  <c:v>0.509964384534235</c:v>
                </c:pt>
                <c:pt idx="194">
                  <c:v>0.507701472184724</c:v>
                </c:pt>
                <c:pt idx="195">
                  <c:v>0.505447550309357</c:v>
                </c:pt>
                <c:pt idx="196">
                  <c:v>0.503202552443381</c:v>
                </c:pt>
                <c:pt idx="197">
                  <c:v>0.500966412122046</c:v>
                </c:pt>
                <c:pt idx="198">
                  <c:v>0.498739062880602</c:v>
                </c:pt>
                <c:pt idx="199">
                  <c:v>0.496520438254299</c:v>
                </c:pt>
                <c:pt idx="200">
                  <c:v>0.494310471778384</c:v>
                </c:pt>
                <c:pt idx="201">
                  <c:v>0.49210909698811</c:v>
                </c:pt>
                <c:pt idx="202">
                  <c:v>0.489916247418723</c:v>
                </c:pt>
                <c:pt idx="203">
                  <c:v>0.487731856605473</c:v>
                </c:pt>
                <c:pt idx="204">
                  <c:v>0.485555858083614</c:v>
                </c:pt>
                <c:pt idx="205">
                  <c:v>0.483388185388389</c:v>
                </c:pt>
                <c:pt idx="206">
                  <c:v>0.48122877205505</c:v>
                </c:pt>
                <c:pt idx="207">
                  <c:v>0.479077551618847</c:v>
                </c:pt>
                <c:pt idx="208">
                  <c:v>0.476934457615028</c:v>
                </c:pt>
                <c:pt idx="209">
                  <c:v>0.474799423578844</c:v>
                </c:pt>
                <c:pt idx="210">
                  <c:v>0.472672383045542</c:v>
                </c:pt>
                <c:pt idx="211">
                  <c:v>0.470553269550375</c:v>
                </c:pt>
                <c:pt idx="212">
                  <c:v>0.468442016628591</c:v>
                </c:pt>
                <c:pt idx="213">
                  <c:v>0.466338557815436</c:v>
                </c:pt>
                <c:pt idx="214">
                  <c:v>0.464242826646166</c:v>
                </c:pt>
                <c:pt idx="215">
                  <c:v>0.462154756656024</c:v>
                </c:pt>
                <c:pt idx="216">
                  <c:v>0.460074281380263</c:v>
                </c:pt>
                <c:pt idx="217">
                  <c:v>0.45800133435413</c:v>
                </c:pt>
                <c:pt idx="218">
                  <c:v>0.455935849112877</c:v>
                </c:pt>
                <c:pt idx="219">
                  <c:v>0.453877759191752</c:v>
                </c:pt>
                <c:pt idx="220">
                  <c:v>0.451826998126004</c:v>
                </c:pt>
                <c:pt idx="221">
                  <c:v>0.449783499450883</c:v>
                </c:pt>
                <c:pt idx="222">
                  <c:v>0.447747196701639</c:v>
                </c:pt>
                <c:pt idx="223">
                  <c:v>0.445718023413522</c:v>
                </c:pt>
                <c:pt idx="224">
                  <c:v>0.443695913121781</c:v>
                </c:pt>
                <c:pt idx="225">
                  <c:v>0.441680799361661</c:v>
                </c:pt>
                <c:pt idx="226">
                  <c:v>0.439672615668417</c:v>
                </c:pt>
                <c:pt idx="227">
                  <c:v>0.437671295577298</c:v>
                </c:pt>
                <c:pt idx="228">
                  <c:v>0.435676772623549</c:v>
                </c:pt>
                <c:pt idx="229">
                  <c:v>0.433688980342425</c:v>
                </c:pt>
                <c:pt idx="230">
                  <c:v>0.43170785226917</c:v>
                </c:pt>
                <c:pt idx="231">
                  <c:v>0.429733321939041</c:v>
                </c:pt>
                <c:pt idx="232">
                  <c:v>0.427765322887277</c:v>
                </c:pt>
                <c:pt idx="233">
                  <c:v>0.425803788649135</c:v>
                </c:pt>
                <c:pt idx="234">
                  <c:v>0.423848652759862</c:v>
                </c:pt>
                <c:pt idx="235">
                  <c:v>0.421899848754708</c:v>
                </c:pt>
                <c:pt idx="236">
                  <c:v>0.419957310168921</c:v>
                </c:pt>
                <c:pt idx="237">
                  <c:v>0.418020970537753</c:v>
                </c:pt>
                <c:pt idx="238">
                  <c:v>0.416090763396449</c:v>
                </c:pt>
                <c:pt idx="239">
                  <c:v>0.414166622280265</c:v>
                </c:pt>
                <c:pt idx="240">
                  <c:v>0.412248480724446</c:v>
                </c:pt>
                <c:pt idx="241">
                  <c:v>0.410336272264241</c:v>
                </c:pt>
                <c:pt idx="242">
                  <c:v>0.408429930434899</c:v>
                </c:pt>
                <c:pt idx="243">
                  <c:v>0.406529388771674</c:v>
                </c:pt>
                <c:pt idx="244">
                  <c:v>0.404634580809809</c:v>
                </c:pt>
                <c:pt idx="245">
                  <c:v>0.402745440084559</c:v>
                </c:pt>
                <c:pt idx="246">
                  <c:v>0.400861900131172</c:v>
                </c:pt>
                <c:pt idx="247">
                  <c:v>0.398983894484896</c:v>
                </c:pt>
                <c:pt idx="248">
                  <c:v>0.397111356680982</c:v>
                </c:pt>
                <c:pt idx="249">
                  <c:v>0.395244220254676</c:v>
                </c:pt>
                <c:pt idx="250">
                  <c:v>0.393382418741227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7227024"/>
        <c:axId val="2057777904"/>
      </c:scatterChart>
      <c:valAx>
        <c:axId val="2017227024"/>
        <c:scaling>
          <c:orientation val="minMax"/>
          <c:min val="0.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en-US"/>
                  <a:t>Time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CN"/>
          </a:p>
        </c:txPr>
        <c:crossAx val="2057777904"/>
        <c:crosses val="autoZero"/>
        <c:crossBetween val="midCat"/>
      </c:valAx>
      <c:valAx>
        <c:axId val="2057777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altLang="en-US"/>
                  <a:t>Price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2017227024"/>
        <c:crosses val="autoZero"/>
        <c:crossBetween val="midCat"/>
      </c:valAx>
    </c:plotArea>
    <c:plotVisOnly val="1"/>
    <c:dispBlanksAs val="gap"/>
    <c:showDLblsOverMax val="0"/>
  </c:chart>
  <c:printSettings>
    <c:headerFooter alignWithMargins="0"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Drop" dropStyle="combo" dx="16" fmlaLink="$M$2" fmlaRange="ListItem!$E$2:$E$3" noThreeD="1" sel="2" val="0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</xdr:row>
          <xdr:rowOff>0</xdr:rowOff>
        </xdr:from>
        <xdr:to>
          <xdr:col>13</xdr:col>
          <xdr:colOff>0</xdr:colOff>
          <xdr:row>2</xdr:row>
          <xdr:rowOff>12700</xdr:rowOff>
        </xdr:to>
        <xdr:sp macro="" textlink="">
          <xdr:nvSpPr>
            <xdr:cNvPr id="26627" name="Drop Down 3" hidden="1">
              <a:extLst>
                <a:ext uri="{63B3BB69-23CF-44E3-9099-C40C66FF867C}">
                  <a14:compatExt spid="_x0000_s26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177800</xdr:rowOff>
        </xdr:from>
        <xdr:to>
          <xdr:col>13</xdr:col>
          <xdr:colOff>0</xdr:colOff>
          <xdr:row>4</xdr:row>
          <xdr:rowOff>25400</xdr:rowOff>
        </xdr:to>
        <xdr:sp macro="" textlink="">
          <xdr:nvSpPr>
            <xdr:cNvPr id="26632" name="Button 8" hidden="1">
              <a:extLst>
                <a:ext uri="{63B3BB69-23CF-44E3-9099-C40C66FF867C}">
                  <a14:compatExt spid="_x0000_s26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  <a:cs typeface="新細明體"/>
                </a:rPr>
                <a:t>Fit Curve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9525</xdr:rowOff>
    </xdr:from>
    <xdr:to>
      <xdr:col>10</xdr:col>
      <xdr:colOff>342900</xdr:colOff>
      <xdr:row>15</xdr:row>
      <xdr:rowOff>9525</xdr:rowOff>
    </xdr:to>
    <xdr:graphicFrame macro="">
      <xdr:nvGraphicFramePr>
        <xdr:cNvPr id="31034" name="圖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16</xdr:row>
      <xdr:rowOff>0</xdr:rowOff>
    </xdr:from>
    <xdr:to>
      <xdr:col>10</xdr:col>
      <xdr:colOff>333375</xdr:colOff>
      <xdr:row>31</xdr:row>
      <xdr:rowOff>0</xdr:rowOff>
    </xdr:to>
    <xdr:graphicFrame macro="">
      <xdr:nvGraphicFramePr>
        <xdr:cNvPr id="31035" name="圖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DengXian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5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C1:E500"/>
  <sheetViews>
    <sheetView workbookViewId="0">
      <selection activeCell="D11" sqref="D11"/>
    </sheetView>
  </sheetViews>
  <sheetFormatPr baseColWidth="10" defaultColWidth="8.83203125" defaultRowHeight="16" x14ac:dyDescent="0.15"/>
  <cols>
    <col min="1" max="1" width="8.83203125" style="15"/>
    <col min="2" max="2" width="14.83203125" style="15" bestFit="1" customWidth="1"/>
    <col min="3" max="3" width="20.5" style="15" bestFit="1" customWidth="1"/>
    <col min="4" max="4" width="10.6640625" style="15" bestFit="1" customWidth="1"/>
    <col min="5" max="5" width="12.33203125" style="15" bestFit="1" customWidth="1"/>
    <col min="6" max="6" width="8.83203125" style="15"/>
    <col min="7" max="7" width="11.1640625" style="15" bestFit="1" customWidth="1"/>
    <col min="8" max="8" width="9.5" style="15" bestFit="1" customWidth="1"/>
    <col min="9" max="16384" width="8.83203125" style="15"/>
  </cols>
  <sheetData>
    <row r="1" spans="3:5" x14ac:dyDescent="0.15">
      <c r="E1" s="15" t="s">
        <v>0</v>
      </c>
    </row>
    <row r="2" spans="3:5" x14ac:dyDescent="0.15">
      <c r="C2" s="16"/>
      <c r="E2" s="15">
        <v>1</v>
      </c>
    </row>
    <row r="3" spans="3:5" x14ac:dyDescent="0.15">
      <c r="C3" s="16"/>
      <c r="E3" s="15" t="s">
        <v>1</v>
      </c>
    </row>
    <row r="4" spans="3:5" x14ac:dyDescent="0.15">
      <c r="C4" s="16"/>
    </row>
    <row r="5" spans="3:5" x14ac:dyDescent="0.15">
      <c r="C5" s="16"/>
    </row>
    <row r="6" spans="3:5" x14ac:dyDescent="0.15">
      <c r="C6" s="16"/>
    </row>
    <row r="7" spans="3:5" x14ac:dyDescent="0.15">
      <c r="C7" s="16"/>
    </row>
    <row r="8" spans="3:5" x14ac:dyDescent="0.15">
      <c r="C8" s="16"/>
    </row>
    <row r="9" spans="3:5" x14ac:dyDescent="0.15">
      <c r="C9" s="16"/>
    </row>
    <row r="10" spans="3:5" x14ac:dyDescent="0.15">
      <c r="C10" s="16"/>
    </row>
    <row r="11" spans="3:5" x14ac:dyDescent="0.15">
      <c r="C11" s="16"/>
    </row>
    <row r="12" spans="3:5" x14ac:dyDescent="0.15">
      <c r="C12" s="16"/>
    </row>
    <row r="13" spans="3:5" x14ac:dyDescent="0.15">
      <c r="C13" s="16"/>
    </row>
    <row r="14" spans="3:5" x14ac:dyDescent="0.15">
      <c r="C14" s="16"/>
    </row>
    <row r="15" spans="3:5" x14ac:dyDescent="0.15">
      <c r="C15" s="16"/>
    </row>
    <row r="16" spans="3:5" x14ac:dyDescent="0.15">
      <c r="C16" s="16"/>
    </row>
    <row r="17" spans="3:3" x14ac:dyDescent="0.15">
      <c r="C17" s="16"/>
    </row>
    <row r="18" spans="3:3" x14ac:dyDescent="0.15">
      <c r="C18" s="16"/>
    </row>
    <row r="19" spans="3:3" x14ac:dyDescent="0.15">
      <c r="C19" s="16"/>
    </row>
    <row r="20" spans="3:3" x14ac:dyDescent="0.15">
      <c r="C20" s="16"/>
    </row>
    <row r="21" spans="3:3" x14ac:dyDescent="0.15">
      <c r="C21" s="16"/>
    </row>
    <row r="22" spans="3:3" x14ac:dyDescent="0.15">
      <c r="C22" s="16"/>
    </row>
    <row r="23" spans="3:3" x14ac:dyDescent="0.15">
      <c r="C23" s="16"/>
    </row>
    <row r="24" spans="3:3" x14ac:dyDescent="0.15">
      <c r="C24" s="16"/>
    </row>
    <row r="25" spans="3:3" x14ac:dyDescent="0.15">
      <c r="C25" s="16"/>
    </row>
    <row r="26" spans="3:3" x14ac:dyDescent="0.15">
      <c r="C26" s="16"/>
    </row>
    <row r="27" spans="3:3" x14ac:dyDescent="0.15">
      <c r="C27" s="16"/>
    </row>
    <row r="28" spans="3:3" x14ac:dyDescent="0.15">
      <c r="C28" s="16"/>
    </row>
    <row r="29" spans="3:3" x14ac:dyDescent="0.15">
      <c r="C29" s="16"/>
    </row>
    <row r="30" spans="3:3" x14ac:dyDescent="0.15">
      <c r="C30" s="16"/>
    </row>
    <row r="31" spans="3:3" x14ac:dyDescent="0.15">
      <c r="C31" s="16"/>
    </row>
    <row r="32" spans="3:3" x14ac:dyDescent="0.15">
      <c r="C32" s="16"/>
    </row>
    <row r="33" spans="3:3" x14ac:dyDescent="0.15">
      <c r="C33" s="16"/>
    </row>
    <row r="34" spans="3:3" x14ac:dyDescent="0.15">
      <c r="C34" s="16"/>
    </row>
    <row r="35" spans="3:3" x14ac:dyDescent="0.15">
      <c r="C35" s="16"/>
    </row>
    <row r="36" spans="3:3" x14ac:dyDescent="0.15">
      <c r="C36" s="16"/>
    </row>
    <row r="37" spans="3:3" x14ac:dyDescent="0.15">
      <c r="C37" s="16"/>
    </row>
    <row r="38" spans="3:3" x14ac:dyDescent="0.15">
      <c r="C38" s="16"/>
    </row>
    <row r="39" spans="3:3" x14ac:dyDescent="0.15">
      <c r="C39" s="16"/>
    </row>
    <row r="40" spans="3:3" x14ac:dyDescent="0.15">
      <c r="C40" s="16"/>
    </row>
    <row r="41" spans="3:3" x14ac:dyDescent="0.15">
      <c r="C41" s="16"/>
    </row>
    <row r="42" spans="3:3" x14ac:dyDescent="0.15">
      <c r="C42" s="16"/>
    </row>
    <row r="43" spans="3:3" x14ac:dyDescent="0.15">
      <c r="C43" s="16"/>
    </row>
    <row r="44" spans="3:3" x14ac:dyDescent="0.15">
      <c r="C44" s="16"/>
    </row>
    <row r="45" spans="3:3" x14ac:dyDescent="0.15">
      <c r="C45" s="16"/>
    </row>
    <row r="46" spans="3:3" x14ac:dyDescent="0.15">
      <c r="C46" s="16"/>
    </row>
    <row r="47" spans="3:3" x14ac:dyDescent="0.15">
      <c r="C47" s="16"/>
    </row>
    <row r="48" spans="3:3" x14ac:dyDescent="0.15">
      <c r="C48" s="16"/>
    </row>
    <row r="49" spans="3:3" x14ac:dyDescent="0.15">
      <c r="C49" s="16"/>
    </row>
    <row r="50" spans="3:3" x14ac:dyDescent="0.15">
      <c r="C50" s="16"/>
    </row>
    <row r="51" spans="3:3" x14ac:dyDescent="0.15">
      <c r="C51" s="16"/>
    </row>
    <row r="52" spans="3:3" x14ac:dyDescent="0.15">
      <c r="C52" s="16"/>
    </row>
    <row r="53" spans="3:3" x14ac:dyDescent="0.15">
      <c r="C53" s="16"/>
    </row>
    <row r="54" spans="3:3" x14ac:dyDescent="0.15">
      <c r="C54" s="16"/>
    </row>
    <row r="55" spans="3:3" x14ac:dyDescent="0.15">
      <c r="C55" s="16"/>
    </row>
    <row r="56" spans="3:3" x14ac:dyDescent="0.15">
      <c r="C56" s="16"/>
    </row>
    <row r="57" spans="3:3" x14ac:dyDescent="0.15">
      <c r="C57" s="16"/>
    </row>
    <row r="58" spans="3:3" x14ac:dyDescent="0.15">
      <c r="C58" s="16"/>
    </row>
    <row r="59" spans="3:3" x14ac:dyDescent="0.15">
      <c r="C59" s="16"/>
    </row>
    <row r="60" spans="3:3" x14ac:dyDescent="0.15">
      <c r="C60" s="16"/>
    </row>
    <row r="61" spans="3:3" x14ac:dyDescent="0.15">
      <c r="C61" s="16"/>
    </row>
    <row r="62" spans="3:3" x14ac:dyDescent="0.15">
      <c r="C62" s="16"/>
    </row>
    <row r="63" spans="3:3" x14ac:dyDescent="0.15">
      <c r="C63" s="16"/>
    </row>
    <row r="64" spans="3:3" x14ac:dyDescent="0.15">
      <c r="C64" s="16"/>
    </row>
    <row r="65" spans="3:3" x14ac:dyDescent="0.15">
      <c r="C65" s="16"/>
    </row>
    <row r="66" spans="3:3" x14ac:dyDescent="0.15">
      <c r="C66" s="16"/>
    </row>
    <row r="67" spans="3:3" x14ac:dyDescent="0.15">
      <c r="C67" s="16"/>
    </row>
    <row r="68" spans="3:3" x14ac:dyDescent="0.15">
      <c r="C68" s="16"/>
    </row>
    <row r="69" spans="3:3" x14ac:dyDescent="0.15">
      <c r="C69" s="16"/>
    </row>
    <row r="70" spans="3:3" x14ac:dyDescent="0.15">
      <c r="C70" s="16"/>
    </row>
    <row r="71" spans="3:3" x14ac:dyDescent="0.15">
      <c r="C71" s="16"/>
    </row>
    <row r="72" spans="3:3" x14ac:dyDescent="0.15">
      <c r="C72" s="16"/>
    </row>
    <row r="73" spans="3:3" x14ac:dyDescent="0.15">
      <c r="C73" s="16"/>
    </row>
    <row r="74" spans="3:3" x14ac:dyDescent="0.15">
      <c r="C74" s="16"/>
    </row>
    <row r="75" spans="3:3" x14ac:dyDescent="0.15">
      <c r="C75" s="16"/>
    </row>
    <row r="76" spans="3:3" x14ac:dyDescent="0.15">
      <c r="C76" s="16"/>
    </row>
    <row r="77" spans="3:3" x14ac:dyDescent="0.15">
      <c r="C77" s="16"/>
    </row>
    <row r="78" spans="3:3" x14ac:dyDescent="0.15">
      <c r="C78" s="16"/>
    </row>
    <row r="79" spans="3:3" x14ac:dyDescent="0.15">
      <c r="C79" s="16"/>
    </row>
    <row r="80" spans="3:3" x14ac:dyDescent="0.15">
      <c r="C80" s="16"/>
    </row>
    <row r="81" spans="3:3" x14ac:dyDescent="0.15">
      <c r="C81" s="16"/>
    </row>
    <row r="82" spans="3:3" x14ac:dyDescent="0.15">
      <c r="C82" s="16"/>
    </row>
    <row r="83" spans="3:3" x14ac:dyDescent="0.15">
      <c r="C83" s="16"/>
    </row>
    <row r="84" spans="3:3" x14ac:dyDescent="0.15">
      <c r="C84" s="16"/>
    </row>
    <row r="85" spans="3:3" x14ac:dyDescent="0.15">
      <c r="C85" s="16"/>
    </row>
    <row r="86" spans="3:3" x14ac:dyDescent="0.15">
      <c r="C86" s="16"/>
    </row>
    <row r="87" spans="3:3" x14ac:dyDescent="0.15">
      <c r="C87" s="16"/>
    </row>
    <row r="88" spans="3:3" x14ac:dyDescent="0.15">
      <c r="C88" s="16"/>
    </row>
    <row r="89" spans="3:3" x14ac:dyDescent="0.15">
      <c r="C89" s="16"/>
    </row>
    <row r="90" spans="3:3" x14ac:dyDescent="0.15">
      <c r="C90" s="16"/>
    </row>
    <row r="91" spans="3:3" x14ac:dyDescent="0.15">
      <c r="C91" s="16"/>
    </row>
    <row r="92" spans="3:3" x14ac:dyDescent="0.15">
      <c r="C92" s="16"/>
    </row>
    <row r="93" spans="3:3" x14ac:dyDescent="0.15">
      <c r="C93" s="16"/>
    </row>
    <row r="94" spans="3:3" x14ac:dyDescent="0.15">
      <c r="C94" s="16"/>
    </row>
    <row r="95" spans="3:3" x14ac:dyDescent="0.15">
      <c r="C95" s="16"/>
    </row>
    <row r="96" spans="3:3" x14ac:dyDescent="0.15">
      <c r="C96" s="16"/>
    </row>
    <row r="97" spans="3:3" x14ac:dyDescent="0.15">
      <c r="C97" s="16"/>
    </row>
    <row r="98" spans="3:3" x14ac:dyDescent="0.15">
      <c r="C98" s="16"/>
    </row>
    <row r="99" spans="3:3" x14ac:dyDescent="0.15">
      <c r="C99" s="16"/>
    </row>
    <row r="100" spans="3:3" x14ac:dyDescent="0.15">
      <c r="C100" s="16"/>
    </row>
    <row r="101" spans="3:3" x14ac:dyDescent="0.15">
      <c r="C101" s="16"/>
    </row>
    <row r="102" spans="3:3" x14ac:dyDescent="0.15">
      <c r="C102" s="16"/>
    </row>
    <row r="103" spans="3:3" x14ac:dyDescent="0.15">
      <c r="C103" s="16"/>
    </row>
    <row r="104" spans="3:3" x14ac:dyDescent="0.15">
      <c r="C104" s="16"/>
    </row>
    <row r="105" spans="3:3" x14ac:dyDescent="0.15">
      <c r="C105" s="16"/>
    </row>
    <row r="106" spans="3:3" x14ac:dyDescent="0.15">
      <c r="C106" s="16"/>
    </row>
    <row r="107" spans="3:3" x14ac:dyDescent="0.15">
      <c r="C107" s="16"/>
    </row>
    <row r="108" spans="3:3" x14ac:dyDescent="0.15">
      <c r="C108" s="16"/>
    </row>
    <row r="109" spans="3:3" x14ac:dyDescent="0.15">
      <c r="C109" s="16"/>
    </row>
    <row r="110" spans="3:3" x14ac:dyDescent="0.15">
      <c r="C110" s="16"/>
    </row>
    <row r="111" spans="3:3" x14ac:dyDescent="0.15">
      <c r="C111" s="16"/>
    </row>
    <row r="112" spans="3:3" x14ac:dyDescent="0.15">
      <c r="C112" s="16"/>
    </row>
    <row r="113" spans="3:3" x14ac:dyDescent="0.15">
      <c r="C113" s="16"/>
    </row>
    <row r="114" spans="3:3" x14ac:dyDescent="0.15">
      <c r="C114" s="16"/>
    </row>
    <row r="115" spans="3:3" x14ac:dyDescent="0.15">
      <c r="C115" s="16"/>
    </row>
    <row r="116" spans="3:3" x14ac:dyDescent="0.15">
      <c r="C116" s="16"/>
    </row>
    <row r="117" spans="3:3" x14ac:dyDescent="0.15">
      <c r="C117" s="16"/>
    </row>
    <row r="118" spans="3:3" x14ac:dyDescent="0.15">
      <c r="C118" s="16"/>
    </row>
    <row r="119" spans="3:3" x14ac:dyDescent="0.15">
      <c r="C119" s="16"/>
    </row>
    <row r="120" spans="3:3" x14ac:dyDescent="0.15">
      <c r="C120" s="16"/>
    </row>
    <row r="121" spans="3:3" x14ac:dyDescent="0.15">
      <c r="C121" s="16"/>
    </row>
    <row r="122" spans="3:3" x14ac:dyDescent="0.15">
      <c r="C122" s="16"/>
    </row>
    <row r="123" spans="3:3" x14ac:dyDescent="0.15">
      <c r="C123" s="16"/>
    </row>
    <row r="124" spans="3:3" x14ac:dyDescent="0.15">
      <c r="C124" s="16"/>
    </row>
    <row r="125" spans="3:3" x14ac:dyDescent="0.15">
      <c r="C125" s="16"/>
    </row>
    <row r="126" spans="3:3" x14ac:dyDescent="0.15">
      <c r="C126" s="16"/>
    </row>
    <row r="127" spans="3:3" x14ac:dyDescent="0.15">
      <c r="C127" s="16"/>
    </row>
    <row r="128" spans="3:3" x14ac:dyDescent="0.15">
      <c r="C128" s="16"/>
    </row>
    <row r="129" spans="3:3" x14ac:dyDescent="0.15">
      <c r="C129" s="16"/>
    </row>
    <row r="130" spans="3:3" x14ac:dyDescent="0.15">
      <c r="C130" s="16"/>
    </row>
    <row r="131" spans="3:3" x14ac:dyDescent="0.15">
      <c r="C131" s="16"/>
    </row>
    <row r="132" spans="3:3" x14ac:dyDescent="0.15">
      <c r="C132" s="16"/>
    </row>
    <row r="133" spans="3:3" x14ac:dyDescent="0.15">
      <c r="C133" s="16"/>
    </row>
    <row r="134" spans="3:3" x14ac:dyDescent="0.15">
      <c r="C134" s="16"/>
    </row>
    <row r="135" spans="3:3" x14ac:dyDescent="0.15">
      <c r="C135" s="16"/>
    </row>
    <row r="136" spans="3:3" x14ac:dyDescent="0.15">
      <c r="C136" s="16"/>
    </row>
    <row r="137" spans="3:3" x14ac:dyDescent="0.15">
      <c r="C137" s="16"/>
    </row>
    <row r="138" spans="3:3" x14ac:dyDescent="0.15">
      <c r="C138" s="16"/>
    </row>
    <row r="139" spans="3:3" x14ac:dyDescent="0.15">
      <c r="C139" s="16"/>
    </row>
    <row r="140" spans="3:3" x14ac:dyDescent="0.15">
      <c r="C140" s="16"/>
    </row>
    <row r="141" spans="3:3" x14ac:dyDescent="0.15">
      <c r="C141" s="16"/>
    </row>
    <row r="142" spans="3:3" x14ac:dyDescent="0.15">
      <c r="C142" s="16"/>
    </row>
    <row r="143" spans="3:3" x14ac:dyDescent="0.15">
      <c r="C143" s="16"/>
    </row>
    <row r="144" spans="3:3" x14ac:dyDescent="0.15">
      <c r="C144" s="16"/>
    </row>
    <row r="145" spans="3:3" x14ac:dyDescent="0.15">
      <c r="C145" s="16"/>
    </row>
    <row r="146" spans="3:3" x14ac:dyDescent="0.15">
      <c r="C146" s="16"/>
    </row>
    <row r="147" spans="3:3" x14ac:dyDescent="0.15">
      <c r="C147" s="16"/>
    </row>
    <row r="148" spans="3:3" x14ac:dyDescent="0.15">
      <c r="C148" s="16"/>
    </row>
    <row r="149" spans="3:3" x14ac:dyDescent="0.15">
      <c r="C149" s="16"/>
    </row>
    <row r="150" spans="3:3" x14ac:dyDescent="0.15">
      <c r="C150" s="16"/>
    </row>
    <row r="151" spans="3:3" x14ac:dyDescent="0.15">
      <c r="C151" s="16"/>
    </row>
    <row r="152" spans="3:3" x14ac:dyDescent="0.15">
      <c r="C152" s="16"/>
    </row>
    <row r="153" spans="3:3" x14ac:dyDescent="0.15">
      <c r="C153" s="16"/>
    </row>
    <row r="154" spans="3:3" x14ac:dyDescent="0.15">
      <c r="C154" s="16"/>
    </row>
    <row r="155" spans="3:3" x14ac:dyDescent="0.15">
      <c r="C155" s="16"/>
    </row>
    <row r="156" spans="3:3" x14ac:dyDescent="0.15">
      <c r="C156" s="16"/>
    </row>
    <row r="157" spans="3:3" x14ac:dyDescent="0.15">
      <c r="C157" s="16"/>
    </row>
    <row r="158" spans="3:3" x14ac:dyDescent="0.15">
      <c r="C158" s="16"/>
    </row>
    <row r="159" spans="3:3" x14ac:dyDescent="0.15">
      <c r="C159" s="16"/>
    </row>
    <row r="160" spans="3:3" x14ac:dyDescent="0.15">
      <c r="C160" s="16"/>
    </row>
    <row r="161" spans="3:3" x14ac:dyDescent="0.15">
      <c r="C161" s="16"/>
    </row>
    <row r="162" spans="3:3" x14ac:dyDescent="0.15">
      <c r="C162" s="16"/>
    </row>
    <row r="163" spans="3:3" x14ac:dyDescent="0.15">
      <c r="C163" s="16"/>
    </row>
    <row r="164" spans="3:3" x14ac:dyDescent="0.15">
      <c r="C164" s="16"/>
    </row>
    <row r="165" spans="3:3" x14ac:dyDescent="0.15">
      <c r="C165" s="16"/>
    </row>
    <row r="166" spans="3:3" x14ac:dyDescent="0.15">
      <c r="C166" s="16"/>
    </row>
    <row r="167" spans="3:3" x14ac:dyDescent="0.15">
      <c r="C167" s="16"/>
    </row>
    <row r="168" spans="3:3" x14ac:dyDescent="0.15">
      <c r="C168" s="16"/>
    </row>
    <row r="169" spans="3:3" x14ac:dyDescent="0.15">
      <c r="C169" s="16"/>
    </row>
    <row r="170" spans="3:3" x14ac:dyDescent="0.15">
      <c r="C170" s="16"/>
    </row>
    <row r="171" spans="3:3" x14ac:dyDescent="0.15">
      <c r="C171" s="16"/>
    </row>
    <row r="172" spans="3:3" x14ac:dyDescent="0.15">
      <c r="C172" s="16"/>
    </row>
    <row r="173" spans="3:3" x14ac:dyDescent="0.15">
      <c r="C173" s="16"/>
    </row>
    <row r="174" spans="3:3" x14ac:dyDescent="0.15">
      <c r="C174" s="16"/>
    </row>
    <row r="175" spans="3:3" x14ac:dyDescent="0.15">
      <c r="C175" s="16"/>
    </row>
    <row r="176" spans="3:3" x14ac:dyDescent="0.15">
      <c r="C176" s="16"/>
    </row>
    <row r="177" spans="3:3" x14ac:dyDescent="0.15">
      <c r="C177" s="16"/>
    </row>
    <row r="178" spans="3:3" x14ac:dyDescent="0.15">
      <c r="C178" s="16"/>
    </row>
    <row r="179" spans="3:3" x14ac:dyDescent="0.15">
      <c r="C179" s="16"/>
    </row>
    <row r="180" spans="3:3" x14ac:dyDescent="0.15">
      <c r="C180" s="16"/>
    </row>
    <row r="181" spans="3:3" x14ac:dyDescent="0.15">
      <c r="C181" s="16"/>
    </row>
    <row r="182" spans="3:3" x14ac:dyDescent="0.15">
      <c r="C182" s="16"/>
    </row>
    <row r="183" spans="3:3" x14ac:dyDescent="0.15">
      <c r="C183" s="16"/>
    </row>
    <row r="184" spans="3:3" x14ac:dyDescent="0.15">
      <c r="C184" s="16"/>
    </row>
    <row r="185" spans="3:3" x14ac:dyDescent="0.15">
      <c r="C185" s="16"/>
    </row>
    <row r="186" spans="3:3" x14ac:dyDescent="0.15">
      <c r="C186" s="16"/>
    </row>
    <row r="187" spans="3:3" x14ac:dyDescent="0.15">
      <c r="C187" s="16"/>
    </row>
    <row r="188" spans="3:3" x14ac:dyDescent="0.15">
      <c r="C188" s="16"/>
    </row>
    <row r="189" spans="3:3" x14ac:dyDescent="0.15">
      <c r="C189" s="16"/>
    </row>
    <row r="190" spans="3:3" x14ac:dyDescent="0.15">
      <c r="C190" s="16"/>
    </row>
    <row r="191" spans="3:3" x14ac:dyDescent="0.15">
      <c r="C191" s="16"/>
    </row>
    <row r="192" spans="3:3" x14ac:dyDescent="0.15">
      <c r="C192" s="16"/>
    </row>
    <row r="193" spans="3:3" x14ac:dyDescent="0.15">
      <c r="C193" s="16"/>
    </row>
    <row r="194" spans="3:3" x14ac:dyDescent="0.15">
      <c r="C194" s="16"/>
    </row>
    <row r="195" spans="3:3" x14ac:dyDescent="0.15">
      <c r="C195" s="16"/>
    </row>
    <row r="196" spans="3:3" x14ac:dyDescent="0.15">
      <c r="C196" s="16"/>
    </row>
    <row r="197" spans="3:3" x14ac:dyDescent="0.15">
      <c r="C197" s="16"/>
    </row>
    <row r="198" spans="3:3" x14ac:dyDescent="0.15">
      <c r="C198" s="16"/>
    </row>
    <row r="199" spans="3:3" x14ac:dyDescent="0.15">
      <c r="C199" s="16"/>
    </row>
    <row r="200" spans="3:3" x14ac:dyDescent="0.15">
      <c r="C200" s="16"/>
    </row>
    <row r="201" spans="3:3" x14ac:dyDescent="0.15">
      <c r="C201" s="17"/>
    </row>
    <row r="202" spans="3:3" x14ac:dyDescent="0.15">
      <c r="C202" s="17"/>
    </row>
    <row r="203" spans="3:3" x14ac:dyDescent="0.15">
      <c r="C203" s="17"/>
    </row>
    <row r="204" spans="3:3" x14ac:dyDescent="0.15">
      <c r="C204" s="17"/>
    </row>
    <row r="205" spans="3:3" x14ac:dyDescent="0.15">
      <c r="C205" s="17"/>
    </row>
    <row r="206" spans="3:3" x14ac:dyDescent="0.15">
      <c r="C206" s="17"/>
    </row>
    <row r="207" spans="3:3" x14ac:dyDescent="0.15">
      <c r="C207" s="17"/>
    </row>
    <row r="208" spans="3:3" x14ac:dyDescent="0.15">
      <c r="C208" s="17"/>
    </row>
    <row r="209" spans="3:3" x14ac:dyDescent="0.15">
      <c r="C209" s="17"/>
    </row>
    <row r="210" spans="3:3" x14ac:dyDescent="0.15">
      <c r="C210" s="17"/>
    </row>
    <row r="211" spans="3:3" x14ac:dyDescent="0.15">
      <c r="C211" s="17"/>
    </row>
    <row r="212" spans="3:3" x14ac:dyDescent="0.15">
      <c r="C212" s="17"/>
    </row>
    <row r="213" spans="3:3" x14ac:dyDescent="0.15">
      <c r="C213" s="17"/>
    </row>
    <row r="214" spans="3:3" x14ac:dyDescent="0.15">
      <c r="C214" s="17"/>
    </row>
    <row r="215" spans="3:3" x14ac:dyDescent="0.15">
      <c r="C215" s="17"/>
    </row>
    <row r="216" spans="3:3" x14ac:dyDescent="0.15">
      <c r="C216" s="17"/>
    </row>
    <row r="217" spans="3:3" x14ac:dyDescent="0.15">
      <c r="C217" s="17"/>
    </row>
    <row r="218" spans="3:3" x14ac:dyDescent="0.15">
      <c r="C218" s="17"/>
    </row>
    <row r="219" spans="3:3" x14ac:dyDescent="0.15">
      <c r="C219" s="17"/>
    </row>
    <row r="220" spans="3:3" x14ac:dyDescent="0.15">
      <c r="C220" s="17"/>
    </row>
    <row r="221" spans="3:3" x14ac:dyDescent="0.15">
      <c r="C221" s="17"/>
    </row>
    <row r="222" spans="3:3" x14ac:dyDescent="0.15">
      <c r="C222" s="17"/>
    </row>
    <row r="223" spans="3:3" x14ac:dyDescent="0.15">
      <c r="C223" s="17"/>
    </row>
    <row r="224" spans="3:3" x14ac:dyDescent="0.15">
      <c r="C224" s="17"/>
    </row>
    <row r="225" spans="3:3" x14ac:dyDescent="0.15">
      <c r="C225" s="17"/>
    </row>
    <row r="226" spans="3:3" x14ac:dyDescent="0.15">
      <c r="C226" s="17"/>
    </row>
    <row r="227" spans="3:3" x14ac:dyDescent="0.15">
      <c r="C227" s="17"/>
    </row>
    <row r="228" spans="3:3" x14ac:dyDescent="0.15">
      <c r="C228" s="17"/>
    </row>
    <row r="229" spans="3:3" x14ac:dyDescent="0.15">
      <c r="C229" s="17"/>
    </row>
    <row r="230" spans="3:3" x14ac:dyDescent="0.15">
      <c r="C230" s="17"/>
    </row>
    <row r="231" spans="3:3" x14ac:dyDescent="0.15">
      <c r="C231" s="17"/>
    </row>
    <row r="232" spans="3:3" x14ac:dyDescent="0.15">
      <c r="C232" s="17"/>
    </row>
    <row r="233" spans="3:3" x14ac:dyDescent="0.15">
      <c r="C233" s="17"/>
    </row>
    <row r="234" spans="3:3" x14ac:dyDescent="0.15">
      <c r="C234" s="17"/>
    </row>
    <row r="235" spans="3:3" x14ac:dyDescent="0.15">
      <c r="C235" s="17"/>
    </row>
    <row r="236" spans="3:3" x14ac:dyDescent="0.15">
      <c r="C236" s="17"/>
    </row>
    <row r="237" spans="3:3" x14ac:dyDescent="0.15">
      <c r="C237" s="17"/>
    </row>
    <row r="238" spans="3:3" x14ac:dyDescent="0.15">
      <c r="C238" s="17"/>
    </row>
    <row r="239" spans="3:3" x14ac:dyDescent="0.15">
      <c r="C239" s="17"/>
    </row>
    <row r="240" spans="3:3" x14ac:dyDescent="0.15">
      <c r="C240" s="17"/>
    </row>
    <row r="241" spans="3:3" x14ac:dyDescent="0.15">
      <c r="C241" s="17"/>
    </row>
    <row r="242" spans="3:3" x14ac:dyDescent="0.15">
      <c r="C242" s="17"/>
    </row>
    <row r="243" spans="3:3" x14ac:dyDescent="0.15">
      <c r="C243" s="17"/>
    </row>
    <row r="244" spans="3:3" x14ac:dyDescent="0.15">
      <c r="C244" s="17"/>
    </row>
    <row r="245" spans="3:3" x14ac:dyDescent="0.15">
      <c r="C245" s="17"/>
    </row>
    <row r="246" spans="3:3" x14ac:dyDescent="0.15">
      <c r="C246" s="17"/>
    </row>
    <row r="247" spans="3:3" x14ac:dyDescent="0.15">
      <c r="C247" s="17"/>
    </row>
    <row r="248" spans="3:3" x14ac:dyDescent="0.15">
      <c r="C248" s="17"/>
    </row>
    <row r="249" spans="3:3" x14ac:dyDescent="0.15">
      <c r="C249" s="17"/>
    </row>
    <row r="250" spans="3:3" x14ac:dyDescent="0.15">
      <c r="C250" s="17"/>
    </row>
    <row r="251" spans="3:3" x14ac:dyDescent="0.15">
      <c r="C251" s="17"/>
    </row>
    <row r="252" spans="3:3" x14ac:dyDescent="0.15">
      <c r="C252" s="17"/>
    </row>
    <row r="253" spans="3:3" x14ac:dyDescent="0.15">
      <c r="C253" s="17"/>
    </row>
    <row r="254" spans="3:3" x14ac:dyDescent="0.15">
      <c r="C254" s="17"/>
    </row>
    <row r="255" spans="3:3" x14ac:dyDescent="0.15">
      <c r="C255" s="17"/>
    </row>
    <row r="256" spans="3:3" x14ac:dyDescent="0.15">
      <c r="C256" s="17"/>
    </row>
    <row r="257" spans="3:3" x14ac:dyDescent="0.15">
      <c r="C257" s="17"/>
    </row>
    <row r="258" spans="3:3" x14ac:dyDescent="0.15">
      <c r="C258" s="17"/>
    </row>
    <row r="259" spans="3:3" x14ac:dyDescent="0.15">
      <c r="C259" s="17"/>
    </row>
    <row r="260" spans="3:3" x14ac:dyDescent="0.15">
      <c r="C260" s="17"/>
    </row>
    <row r="261" spans="3:3" x14ac:dyDescent="0.15">
      <c r="C261" s="17"/>
    </row>
    <row r="262" spans="3:3" x14ac:dyDescent="0.15">
      <c r="C262" s="17"/>
    </row>
    <row r="263" spans="3:3" x14ac:dyDescent="0.15">
      <c r="C263" s="17"/>
    </row>
    <row r="264" spans="3:3" x14ac:dyDescent="0.15">
      <c r="C264" s="17"/>
    </row>
    <row r="265" spans="3:3" x14ac:dyDescent="0.15">
      <c r="C265" s="17"/>
    </row>
    <row r="266" spans="3:3" x14ac:dyDescent="0.15">
      <c r="C266" s="17"/>
    </row>
    <row r="267" spans="3:3" x14ac:dyDescent="0.15">
      <c r="C267" s="17"/>
    </row>
    <row r="268" spans="3:3" x14ac:dyDescent="0.15">
      <c r="C268" s="17"/>
    </row>
    <row r="269" spans="3:3" x14ac:dyDescent="0.15">
      <c r="C269" s="17"/>
    </row>
    <row r="270" spans="3:3" x14ac:dyDescent="0.15">
      <c r="C270" s="17"/>
    </row>
    <row r="271" spans="3:3" x14ac:dyDescent="0.15">
      <c r="C271" s="17"/>
    </row>
    <row r="272" spans="3:3" x14ac:dyDescent="0.15">
      <c r="C272" s="17"/>
    </row>
    <row r="273" spans="3:3" x14ac:dyDescent="0.15">
      <c r="C273" s="17"/>
    </row>
    <row r="274" spans="3:3" x14ac:dyDescent="0.15">
      <c r="C274" s="17"/>
    </row>
    <row r="275" spans="3:3" x14ac:dyDescent="0.15">
      <c r="C275" s="17"/>
    </row>
    <row r="276" spans="3:3" x14ac:dyDescent="0.15">
      <c r="C276" s="17"/>
    </row>
    <row r="277" spans="3:3" x14ac:dyDescent="0.15">
      <c r="C277" s="17"/>
    </row>
    <row r="278" spans="3:3" x14ac:dyDescent="0.15">
      <c r="C278" s="17"/>
    </row>
    <row r="279" spans="3:3" x14ac:dyDescent="0.15">
      <c r="C279" s="17"/>
    </row>
    <row r="280" spans="3:3" x14ac:dyDescent="0.15">
      <c r="C280" s="17"/>
    </row>
    <row r="281" spans="3:3" x14ac:dyDescent="0.15">
      <c r="C281" s="17"/>
    </row>
    <row r="282" spans="3:3" x14ac:dyDescent="0.15">
      <c r="C282" s="17"/>
    </row>
    <row r="283" spans="3:3" x14ac:dyDescent="0.15">
      <c r="C283" s="17"/>
    </row>
    <row r="284" spans="3:3" x14ac:dyDescent="0.15">
      <c r="C284" s="17"/>
    </row>
    <row r="285" spans="3:3" x14ac:dyDescent="0.15">
      <c r="C285" s="17"/>
    </row>
    <row r="286" spans="3:3" x14ac:dyDescent="0.15">
      <c r="C286" s="17"/>
    </row>
    <row r="287" spans="3:3" x14ac:dyDescent="0.15">
      <c r="C287" s="17"/>
    </row>
    <row r="288" spans="3:3" x14ac:dyDescent="0.15">
      <c r="C288" s="17"/>
    </row>
    <row r="289" spans="3:3" x14ac:dyDescent="0.15">
      <c r="C289" s="17"/>
    </row>
    <row r="290" spans="3:3" x14ac:dyDescent="0.15">
      <c r="C290" s="17"/>
    </row>
    <row r="291" spans="3:3" x14ac:dyDescent="0.15">
      <c r="C291" s="17"/>
    </row>
    <row r="292" spans="3:3" x14ac:dyDescent="0.15">
      <c r="C292" s="17"/>
    </row>
    <row r="293" spans="3:3" x14ac:dyDescent="0.15">
      <c r="C293" s="17"/>
    </row>
    <row r="294" spans="3:3" x14ac:dyDescent="0.15">
      <c r="C294" s="17"/>
    </row>
    <row r="295" spans="3:3" x14ac:dyDescent="0.15">
      <c r="C295" s="17"/>
    </row>
    <row r="296" spans="3:3" x14ac:dyDescent="0.15">
      <c r="C296" s="17"/>
    </row>
    <row r="297" spans="3:3" x14ac:dyDescent="0.15">
      <c r="C297" s="17"/>
    </row>
    <row r="298" spans="3:3" x14ac:dyDescent="0.15">
      <c r="C298" s="17"/>
    </row>
    <row r="299" spans="3:3" x14ac:dyDescent="0.15">
      <c r="C299" s="17"/>
    </row>
    <row r="300" spans="3:3" x14ac:dyDescent="0.15">
      <c r="C300" s="17"/>
    </row>
    <row r="301" spans="3:3" x14ac:dyDescent="0.15">
      <c r="C301" s="17"/>
    </row>
    <row r="302" spans="3:3" x14ac:dyDescent="0.15">
      <c r="C302" s="17"/>
    </row>
    <row r="303" spans="3:3" x14ac:dyDescent="0.15">
      <c r="C303" s="17"/>
    </row>
    <row r="304" spans="3:3" x14ac:dyDescent="0.15">
      <c r="C304" s="17"/>
    </row>
    <row r="305" spans="3:3" x14ac:dyDescent="0.15">
      <c r="C305" s="17"/>
    </row>
    <row r="306" spans="3:3" x14ac:dyDescent="0.15">
      <c r="C306" s="17"/>
    </row>
    <row r="307" spans="3:3" x14ac:dyDescent="0.15">
      <c r="C307" s="17"/>
    </row>
    <row r="308" spans="3:3" x14ac:dyDescent="0.15">
      <c r="C308" s="17"/>
    </row>
    <row r="309" spans="3:3" x14ac:dyDescent="0.15">
      <c r="C309" s="17"/>
    </row>
    <row r="310" spans="3:3" x14ac:dyDescent="0.15">
      <c r="C310" s="17"/>
    </row>
    <row r="311" spans="3:3" x14ac:dyDescent="0.15">
      <c r="C311" s="17"/>
    </row>
    <row r="312" spans="3:3" x14ac:dyDescent="0.15">
      <c r="C312" s="17"/>
    </row>
    <row r="313" spans="3:3" x14ac:dyDescent="0.15">
      <c r="C313" s="17"/>
    </row>
    <row r="314" spans="3:3" x14ac:dyDescent="0.15">
      <c r="C314" s="17"/>
    </row>
    <row r="315" spans="3:3" x14ac:dyDescent="0.15">
      <c r="C315" s="17"/>
    </row>
    <row r="316" spans="3:3" x14ac:dyDescent="0.15">
      <c r="C316" s="17"/>
    </row>
    <row r="317" spans="3:3" x14ac:dyDescent="0.15">
      <c r="C317" s="17"/>
    </row>
    <row r="318" spans="3:3" x14ac:dyDescent="0.15">
      <c r="C318" s="17"/>
    </row>
    <row r="319" spans="3:3" x14ac:dyDescent="0.15">
      <c r="C319" s="17"/>
    </row>
    <row r="320" spans="3:3" x14ac:dyDescent="0.15">
      <c r="C320" s="17"/>
    </row>
    <row r="321" spans="3:3" x14ac:dyDescent="0.15">
      <c r="C321" s="17"/>
    </row>
    <row r="322" spans="3:3" x14ac:dyDescent="0.15">
      <c r="C322" s="17"/>
    </row>
    <row r="323" spans="3:3" x14ac:dyDescent="0.15">
      <c r="C323" s="17"/>
    </row>
    <row r="324" spans="3:3" x14ac:dyDescent="0.15">
      <c r="C324" s="17"/>
    </row>
    <row r="325" spans="3:3" x14ac:dyDescent="0.15">
      <c r="C325" s="17"/>
    </row>
    <row r="326" spans="3:3" x14ac:dyDescent="0.15">
      <c r="C326" s="17"/>
    </row>
    <row r="327" spans="3:3" x14ac:dyDescent="0.15">
      <c r="C327" s="17"/>
    </row>
    <row r="328" spans="3:3" x14ac:dyDescent="0.15">
      <c r="C328" s="17"/>
    </row>
    <row r="329" spans="3:3" x14ac:dyDescent="0.15">
      <c r="C329" s="17"/>
    </row>
    <row r="330" spans="3:3" x14ac:dyDescent="0.15">
      <c r="C330" s="17"/>
    </row>
    <row r="331" spans="3:3" x14ac:dyDescent="0.15">
      <c r="C331" s="17"/>
    </row>
    <row r="332" spans="3:3" x14ac:dyDescent="0.15">
      <c r="C332" s="17"/>
    </row>
    <row r="333" spans="3:3" x14ac:dyDescent="0.15">
      <c r="C333" s="17"/>
    </row>
    <row r="334" spans="3:3" x14ac:dyDescent="0.15">
      <c r="C334" s="17"/>
    </row>
    <row r="335" spans="3:3" x14ac:dyDescent="0.15">
      <c r="C335" s="17"/>
    </row>
    <row r="336" spans="3:3" x14ac:dyDescent="0.15">
      <c r="C336" s="17"/>
    </row>
    <row r="337" spans="3:3" x14ac:dyDescent="0.15">
      <c r="C337" s="17"/>
    </row>
    <row r="338" spans="3:3" x14ac:dyDescent="0.15">
      <c r="C338" s="17"/>
    </row>
    <row r="339" spans="3:3" x14ac:dyDescent="0.15">
      <c r="C339" s="17"/>
    </row>
    <row r="340" spans="3:3" x14ac:dyDescent="0.15">
      <c r="C340" s="17"/>
    </row>
    <row r="341" spans="3:3" x14ac:dyDescent="0.15">
      <c r="C341" s="17"/>
    </row>
    <row r="342" spans="3:3" x14ac:dyDescent="0.15">
      <c r="C342" s="17"/>
    </row>
    <row r="343" spans="3:3" x14ac:dyDescent="0.15">
      <c r="C343" s="17"/>
    </row>
    <row r="344" spans="3:3" x14ac:dyDescent="0.15">
      <c r="C344" s="17"/>
    </row>
    <row r="345" spans="3:3" x14ac:dyDescent="0.15">
      <c r="C345" s="17"/>
    </row>
    <row r="346" spans="3:3" x14ac:dyDescent="0.15">
      <c r="C346" s="17"/>
    </row>
    <row r="347" spans="3:3" x14ac:dyDescent="0.15">
      <c r="C347" s="17"/>
    </row>
    <row r="348" spans="3:3" x14ac:dyDescent="0.15">
      <c r="C348" s="17"/>
    </row>
    <row r="349" spans="3:3" x14ac:dyDescent="0.15">
      <c r="C349" s="17"/>
    </row>
    <row r="350" spans="3:3" x14ac:dyDescent="0.15">
      <c r="C350" s="17"/>
    </row>
    <row r="351" spans="3:3" x14ac:dyDescent="0.15">
      <c r="C351" s="17"/>
    </row>
    <row r="352" spans="3:3" x14ac:dyDescent="0.15">
      <c r="C352" s="17"/>
    </row>
    <row r="353" spans="3:3" x14ac:dyDescent="0.15">
      <c r="C353" s="17"/>
    </row>
    <row r="354" spans="3:3" x14ac:dyDescent="0.15">
      <c r="C354" s="17"/>
    </row>
    <row r="355" spans="3:3" x14ac:dyDescent="0.15">
      <c r="C355" s="17"/>
    </row>
    <row r="356" spans="3:3" x14ac:dyDescent="0.15">
      <c r="C356" s="17"/>
    </row>
    <row r="357" spans="3:3" x14ac:dyDescent="0.15">
      <c r="C357" s="17"/>
    </row>
    <row r="358" spans="3:3" x14ac:dyDescent="0.15">
      <c r="C358" s="17"/>
    </row>
    <row r="359" spans="3:3" x14ac:dyDescent="0.15">
      <c r="C359" s="17"/>
    </row>
    <row r="360" spans="3:3" x14ac:dyDescent="0.15">
      <c r="C360" s="17"/>
    </row>
    <row r="361" spans="3:3" x14ac:dyDescent="0.15">
      <c r="C361" s="17"/>
    </row>
    <row r="362" spans="3:3" x14ac:dyDescent="0.15">
      <c r="C362" s="17"/>
    </row>
    <row r="363" spans="3:3" x14ac:dyDescent="0.15">
      <c r="C363" s="17"/>
    </row>
    <row r="364" spans="3:3" x14ac:dyDescent="0.15">
      <c r="C364" s="17"/>
    </row>
    <row r="365" spans="3:3" x14ac:dyDescent="0.15">
      <c r="C365" s="17"/>
    </row>
    <row r="366" spans="3:3" x14ac:dyDescent="0.15">
      <c r="C366" s="17"/>
    </row>
    <row r="367" spans="3:3" x14ac:dyDescent="0.15">
      <c r="C367" s="17"/>
    </row>
    <row r="368" spans="3:3" x14ac:dyDescent="0.15">
      <c r="C368" s="17"/>
    </row>
    <row r="369" spans="3:3" x14ac:dyDescent="0.15">
      <c r="C369" s="17"/>
    </row>
    <row r="370" spans="3:3" x14ac:dyDescent="0.15">
      <c r="C370" s="17"/>
    </row>
    <row r="371" spans="3:3" x14ac:dyDescent="0.15">
      <c r="C371" s="17"/>
    </row>
    <row r="372" spans="3:3" x14ac:dyDescent="0.15">
      <c r="C372" s="17"/>
    </row>
    <row r="373" spans="3:3" x14ac:dyDescent="0.15">
      <c r="C373" s="17"/>
    </row>
    <row r="374" spans="3:3" x14ac:dyDescent="0.15">
      <c r="C374" s="17"/>
    </row>
    <row r="375" spans="3:3" x14ac:dyDescent="0.15">
      <c r="C375" s="17"/>
    </row>
    <row r="376" spans="3:3" x14ac:dyDescent="0.15">
      <c r="C376" s="17"/>
    </row>
    <row r="377" spans="3:3" x14ac:dyDescent="0.15">
      <c r="C377" s="17"/>
    </row>
    <row r="378" spans="3:3" x14ac:dyDescent="0.15">
      <c r="C378" s="17"/>
    </row>
    <row r="379" spans="3:3" x14ac:dyDescent="0.15">
      <c r="C379" s="17"/>
    </row>
    <row r="380" spans="3:3" x14ac:dyDescent="0.15">
      <c r="C380" s="17"/>
    </row>
    <row r="381" spans="3:3" x14ac:dyDescent="0.15">
      <c r="C381" s="17"/>
    </row>
    <row r="382" spans="3:3" x14ac:dyDescent="0.15">
      <c r="C382" s="17"/>
    </row>
    <row r="383" spans="3:3" x14ac:dyDescent="0.15">
      <c r="C383" s="17"/>
    </row>
    <row r="384" spans="3:3" x14ac:dyDescent="0.15">
      <c r="C384" s="17"/>
    </row>
    <row r="385" spans="3:3" x14ac:dyDescent="0.15">
      <c r="C385" s="17"/>
    </row>
    <row r="386" spans="3:3" x14ac:dyDescent="0.15">
      <c r="C386" s="17"/>
    </row>
    <row r="387" spans="3:3" x14ac:dyDescent="0.15">
      <c r="C387" s="17"/>
    </row>
    <row r="388" spans="3:3" x14ac:dyDescent="0.15">
      <c r="C388" s="17"/>
    </row>
    <row r="389" spans="3:3" x14ac:dyDescent="0.15">
      <c r="C389" s="17"/>
    </row>
    <row r="390" spans="3:3" x14ac:dyDescent="0.15">
      <c r="C390" s="17"/>
    </row>
    <row r="391" spans="3:3" x14ac:dyDescent="0.15">
      <c r="C391" s="17"/>
    </row>
    <row r="392" spans="3:3" x14ac:dyDescent="0.15">
      <c r="C392" s="17"/>
    </row>
    <row r="393" spans="3:3" x14ac:dyDescent="0.15">
      <c r="C393" s="17"/>
    </row>
    <row r="394" spans="3:3" x14ac:dyDescent="0.15">
      <c r="C394" s="17"/>
    </row>
    <row r="395" spans="3:3" x14ac:dyDescent="0.15">
      <c r="C395" s="17"/>
    </row>
    <row r="396" spans="3:3" x14ac:dyDescent="0.15">
      <c r="C396" s="17"/>
    </row>
    <row r="397" spans="3:3" x14ac:dyDescent="0.15">
      <c r="C397" s="17"/>
    </row>
    <row r="398" spans="3:3" x14ac:dyDescent="0.15">
      <c r="C398" s="17"/>
    </row>
    <row r="399" spans="3:3" x14ac:dyDescent="0.15">
      <c r="C399" s="17"/>
    </row>
    <row r="400" spans="3:3" x14ac:dyDescent="0.15">
      <c r="C400" s="17"/>
    </row>
    <row r="401" spans="3:3" x14ac:dyDescent="0.15">
      <c r="C401" s="17"/>
    </row>
    <row r="402" spans="3:3" x14ac:dyDescent="0.15">
      <c r="C402" s="17"/>
    </row>
    <row r="403" spans="3:3" x14ac:dyDescent="0.15">
      <c r="C403" s="17"/>
    </row>
    <row r="404" spans="3:3" x14ac:dyDescent="0.15">
      <c r="C404" s="17"/>
    </row>
    <row r="405" spans="3:3" x14ac:dyDescent="0.15">
      <c r="C405" s="17"/>
    </row>
    <row r="406" spans="3:3" x14ac:dyDescent="0.15">
      <c r="C406" s="17"/>
    </row>
    <row r="407" spans="3:3" x14ac:dyDescent="0.15">
      <c r="C407" s="17"/>
    </row>
    <row r="408" spans="3:3" x14ac:dyDescent="0.15">
      <c r="C408" s="17"/>
    </row>
    <row r="409" spans="3:3" x14ac:dyDescent="0.15">
      <c r="C409" s="17"/>
    </row>
    <row r="410" spans="3:3" x14ac:dyDescent="0.15">
      <c r="C410" s="17"/>
    </row>
    <row r="411" spans="3:3" x14ac:dyDescent="0.15">
      <c r="C411" s="17"/>
    </row>
    <row r="412" spans="3:3" x14ac:dyDescent="0.15">
      <c r="C412" s="17"/>
    </row>
    <row r="413" spans="3:3" x14ac:dyDescent="0.15">
      <c r="C413" s="17"/>
    </row>
    <row r="414" spans="3:3" x14ac:dyDescent="0.15">
      <c r="C414" s="17"/>
    </row>
    <row r="415" spans="3:3" x14ac:dyDescent="0.15">
      <c r="C415" s="17"/>
    </row>
    <row r="416" spans="3:3" x14ac:dyDescent="0.15">
      <c r="C416" s="17"/>
    </row>
    <row r="417" spans="3:3" x14ac:dyDescent="0.15">
      <c r="C417" s="17"/>
    </row>
    <row r="418" spans="3:3" x14ac:dyDescent="0.15">
      <c r="C418" s="17"/>
    </row>
    <row r="419" spans="3:3" x14ac:dyDescent="0.15">
      <c r="C419" s="17"/>
    </row>
    <row r="420" spans="3:3" x14ac:dyDescent="0.15">
      <c r="C420" s="17"/>
    </row>
    <row r="421" spans="3:3" x14ac:dyDescent="0.15">
      <c r="C421" s="17"/>
    </row>
    <row r="422" spans="3:3" x14ac:dyDescent="0.15">
      <c r="C422" s="17"/>
    </row>
    <row r="423" spans="3:3" x14ac:dyDescent="0.15">
      <c r="C423" s="17"/>
    </row>
    <row r="424" spans="3:3" x14ac:dyDescent="0.15">
      <c r="C424" s="17"/>
    </row>
    <row r="425" spans="3:3" x14ac:dyDescent="0.15">
      <c r="C425" s="17"/>
    </row>
    <row r="426" spans="3:3" x14ac:dyDescent="0.15">
      <c r="C426" s="17"/>
    </row>
    <row r="427" spans="3:3" x14ac:dyDescent="0.15">
      <c r="C427" s="17"/>
    </row>
    <row r="428" spans="3:3" x14ac:dyDescent="0.15">
      <c r="C428" s="17"/>
    </row>
    <row r="429" spans="3:3" x14ac:dyDescent="0.15">
      <c r="C429" s="17"/>
    </row>
    <row r="430" spans="3:3" x14ac:dyDescent="0.15">
      <c r="C430" s="17"/>
    </row>
    <row r="431" spans="3:3" x14ac:dyDescent="0.15">
      <c r="C431" s="17"/>
    </row>
    <row r="432" spans="3:3" x14ac:dyDescent="0.15">
      <c r="C432" s="17"/>
    </row>
    <row r="433" spans="3:3" x14ac:dyDescent="0.15">
      <c r="C433" s="17"/>
    </row>
    <row r="434" spans="3:3" x14ac:dyDescent="0.15">
      <c r="C434" s="17"/>
    </row>
    <row r="435" spans="3:3" x14ac:dyDescent="0.15">
      <c r="C435" s="17"/>
    </row>
    <row r="436" spans="3:3" x14ac:dyDescent="0.15">
      <c r="C436" s="17"/>
    </row>
    <row r="437" spans="3:3" x14ac:dyDescent="0.15">
      <c r="C437" s="17"/>
    </row>
    <row r="438" spans="3:3" x14ac:dyDescent="0.15">
      <c r="C438" s="17"/>
    </row>
    <row r="439" spans="3:3" x14ac:dyDescent="0.15">
      <c r="C439" s="17"/>
    </row>
    <row r="440" spans="3:3" x14ac:dyDescent="0.15">
      <c r="C440" s="17"/>
    </row>
    <row r="441" spans="3:3" x14ac:dyDescent="0.15">
      <c r="C441" s="17"/>
    </row>
    <row r="442" spans="3:3" x14ac:dyDescent="0.15">
      <c r="C442" s="17"/>
    </row>
    <row r="443" spans="3:3" x14ac:dyDescent="0.15">
      <c r="C443" s="17"/>
    </row>
    <row r="444" spans="3:3" x14ac:dyDescent="0.15">
      <c r="C444" s="17"/>
    </row>
    <row r="445" spans="3:3" x14ac:dyDescent="0.15">
      <c r="C445" s="17"/>
    </row>
    <row r="446" spans="3:3" x14ac:dyDescent="0.15">
      <c r="C446" s="17"/>
    </row>
    <row r="447" spans="3:3" x14ac:dyDescent="0.15">
      <c r="C447" s="17"/>
    </row>
    <row r="448" spans="3:3" x14ac:dyDescent="0.15">
      <c r="C448" s="17"/>
    </row>
    <row r="449" spans="3:3" x14ac:dyDescent="0.15">
      <c r="C449" s="17"/>
    </row>
    <row r="450" spans="3:3" x14ac:dyDescent="0.15">
      <c r="C450" s="17"/>
    </row>
    <row r="451" spans="3:3" x14ac:dyDescent="0.15">
      <c r="C451" s="17"/>
    </row>
    <row r="452" spans="3:3" x14ac:dyDescent="0.15">
      <c r="C452" s="17"/>
    </row>
    <row r="453" spans="3:3" x14ac:dyDescent="0.15">
      <c r="C453" s="17"/>
    </row>
    <row r="454" spans="3:3" x14ac:dyDescent="0.15">
      <c r="C454" s="17"/>
    </row>
    <row r="455" spans="3:3" x14ac:dyDescent="0.15">
      <c r="C455" s="17"/>
    </row>
    <row r="456" spans="3:3" x14ac:dyDescent="0.15">
      <c r="C456" s="17"/>
    </row>
    <row r="457" spans="3:3" x14ac:dyDescent="0.15">
      <c r="C457" s="17"/>
    </row>
    <row r="458" spans="3:3" x14ac:dyDescent="0.15">
      <c r="C458" s="17"/>
    </row>
    <row r="459" spans="3:3" x14ac:dyDescent="0.15">
      <c r="C459" s="17"/>
    </row>
    <row r="460" spans="3:3" x14ac:dyDescent="0.15">
      <c r="C460" s="17"/>
    </row>
    <row r="461" spans="3:3" x14ac:dyDescent="0.15">
      <c r="C461" s="17"/>
    </row>
    <row r="462" spans="3:3" x14ac:dyDescent="0.15">
      <c r="C462" s="17"/>
    </row>
    <row r="463" spans="3:3" x14ac:dyDescent="0.15">
      <c r="C463" s="17"/>
    </row>
    <row r="464" spans="3:3" x14ac:dyDescent="0.15">
      <c r="C464" s="17"/>
    </row>
    <row r="465" spans="3:3" x14ac:dyDescent="0.15">
      <c r="C465" s="17"/>
    </row>
    <row r="466" spans="3:3" x14ac:dyDescent="0.15">
      <c r="C466" s="17"/>
    </row>
    <row r="467" spans="3:3" x14ac:dyDescent="0.15">
      <c r="C467" s="17"/>
    </row>
    <row r="468" spans="3:3" x14ac:dyDescent="0.15">
      <c r="C468" s="17"/>
    </row>
    <row r="469" spans="3:3" x14ac:dyDescent="0.15">
      <c r="C469" s="17"/>
    </row>
    <row r="470" spans="3:3" x14ac:dyDescent="0.15">
      <c r="C470" s="17"/>
    </row>
    <row r="471" spans="3:3" x14ac:dyDescent="0.15">
      <c r="C471" s="17"/>
    </row>
    <row r="472" spans="3:3" x14ac:dyDescent="0.15">
      <c r="C472" s="17"/>
    </row>
    <row r="473" spans="3:3" x14ac:dyDescent="0.15">
      <c r="C473" s="17"/>
    </row>
    <row r="474" spans="3:3" x14ac:dyDescent="0.15">
      <c r="C474" s="17"/>
    </row>
    <row r="475" spans="3:3" x14ac:dyDescent="0.15">
      <c r="C475" s="17"/>
    </row>
    <row r="476" spans="3:3" x14ac:dyDescent="0.15">
      <c r="C476" s="17"/>
    </row>
    <row r="477" spans="3:3" x14ac:dyDescent="0.15">
      <c r="C477" s="17"/>
    </row>
    <row r="478" spans="3:3" x14ac:dyDescent="0.15">
      <c r="C478" s="17"/>
    </row>
    <row r="479" spans="3:3" x14ac:dyDescent="0.15">
      <c r="C479" s="17"/>
    </row>
    <row r="480" spans="3:3" x14ac:dyDescent="0.15">
      <c r="C480" s="17"/>
    </row>
    <row r="481" spans="3:3" x14ac:dyDescent="0.15">
      <c r="C481" s="17"/>
    </row>
    <row r="482" spans="3:3" x14ac:dyDescent="0.15">
      <c r="C482" s="17"/>
    </row>
    <row r="483" spans="3:3" x14ac:dyDescent="0.15">
      <c r="C483" s="17"/>
    </row>
    <row r="484" spans="3:3" x14ac:dyDescent="0.15">
      <c r="C484" s="17"/>
    </row>
    <row r="485" spans="3:3" x14ac:dyDescent="0.15">
      <c r="C485" s="17"/>
    </row>
    <row r="486" spans="3:3" x14ac:dyDescent="0.15">
      <c r="C486" s="17"/>
    </row>
    <row r="487" spans="3:3" x14ac:dyDescent="0.15">
      <c r="C487" s="17"/>
    </row>
    <row r="488" spans="3:3" x14ac:dyDescent="0.15">
      <c r="C488" s="17"/>
    </row>
    <row r="489" spans="3:3" x14ac:dyDescent="0.15">
      <c r="C489" s="17"/>
    </row>
    <row r="490" spans="3:3" x14ac:dyDescent="0.15">
      <c r="C490" s="17"/>
    </row>
    <row r="491" spans="3:3" x14ac:dyDescent="0.15">
      <c r="C491" s="17"/>
    </row>
    <row r="492" spans="3:3" x14ac:dyDescent="0.15">
      <c r="C492" s="17"/>
    </row>
    <row r="493" spans="3:3" x14ac:dyDescent="0.15">
      <c r="C493" s="17"/>
    </row>
    <row r="494" spans="3:3" x14ac:dyDescent="0.15">
      <c r="C494" s="17"/>
    </row>
    <row r="495" spans="3:3" x14ac:dyDescent="0.15">
      <c r="C495" s="17"/>
    </row>
    <row r="496" spans="3:3" x14ac:dyDescent="0.15">
      <c r="C496" s="17"/>
    </row>
    <row r="497" spans="3:3" x14ac:dyDescent="0.15">
      <c r="C497" s="17"/>
    </row>
    <row r="498" spans="3:3" x14ac:dyDescent="0.15">
      <c r="C498" s="17"/>
    </row>
    <row r="499" spans="3:3" x14ac:dyDescent="0.15">
      <c r="C499" s="17"/>
    </row>
    <row r="500" spans="3:3" x14ac:dyDescent="0.15">
      <c r="C500" s="17"/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S288"/>
  <sheetViews>
    <sheetView tabSelected="1" zoomScale="90" zoomScaleNormal="90" zoomScalePageLayoutView="90" workbookViewId="0">
      <selection activeCell="G3" sqref="G3"/>
    </sheetView>
  </sheetViews>
  <sheetFormatPr baseColWidth="10" defaultColWidth="8.83203125" defaultRowHeight="16" x14ac:dyDescent="0.15"/>
  <cols>
    <col min="1" max="1" width="10.1640625" style="2" bestFit="1" customWidth="1"/>
    <col min="2" max="2" width="5.83203125" style="2" bestFit="1" customWidth="1"/>
    <col min="3" max="3" width="16" style="2" bestFit="1" customWidth="1"/>
    <col min="4" max="4" width="9.5" style="2" bestFit="1" customWidth="1"/>
    <col min="5" max="5" width="12.83203125" style="2" bestFit="1" customWidth="1"/>
    <col min="6" max="8" width="7.6640625" style="2" bestFit="1" customWidth="1"/>
    <col min="9" max="9" width="9.6640625" style="2" bestFit="1" customWidth="1"/>
    <col min="10" max="10" width="8.6640625" style="2" customWidth="1"/>
    <col min="11" max="11" width="7.5" style="2" customWidth="1"/>
    <col min="12" max="12" width="3.6640625" style="2" customWidth="1"/>
    <col min="13" max="13" width="11.6640625" style="2" customWidth="1"/>
    <col min="14" max="14" width="8.6640625" style="8" customWidth="1"/>
    <col min="15" max="15" width="4.1640625" style="2" bestFit="1" customWidth="1"/>
    <col min="16" max="16" width="5.1640625" style="2" customWidth="1"/>
    <col min="17" max="17" width="8.1640625" style="2" bestFit="1" customWidth="1"/>
    <col min="18" max="18" width="5.6640625" style="2" customWidth="1"/>
    <col min="19" max="19" width="17.83203125" style="2" bestFit="1" customWidth="1"/>
    <col min="20" max="16384" width="8.83203125" style="2"/>
  </cols>
  <sheetData>
    <row r="1" spans="1:19" x14ac:dyDescent="0.15">
      <c r="A1" s="23" t="s">
        <v>29</v>
      </c>
      <c r="B1" s="23"/>
      <c r="C1" s="23"/>
      <c r="D1" s="23"/>
      <c r="E1" s="23"/>
      <c r="F1" s="23" t="s">
        <v>3</v>
      </c>
      <c r="G1" s="23"/>
      <c r="H1" s="23"/>
      <c r="I1" s="23"/>
      <c r="K1" s="3" t="s">
        <v>7</v>
      </c>
      <c r="M1" s="2" t="s">
        <v>8</v>
      </c>
      <c r="P1" s="3" t="s">
        <v>9</v>
      </c>
      <c r="Q1" s="3" t="s">
        <v>10</v>
      </c>
      <c r="R1" s="3"/>
      <c r="S1" s="2" t="s">
        <v>20</v>
      </c>
    </row>
    <row r="2" spans="1:19" x14ac:dyDescent="0.15">
      <c r="A2" s="9" t="s">
        <v>5</v>
      </c>
      <c r="B2" s="9" t="s">
        <v>22</v>
      </c>
      <c r="C2" s="9" t="s">
        <v>6</v>
      </c>
      <c r="D2" s="3" t="s">
        <v>4</v>
      </c>
      <c r="E2" s="9" t="s">
        <v>2</v>
      </c>
      <c r="F2" s="3" t="s">
        <v>23</v>
      </c>
      <c r="G2" s="9" t="s">
        <v>24</v>
      </c>
      <c r="H2" s="3" t="s">
        <v>11</v>
      </c>
      <c r="I2" s="3" t="s">
        <v>18</v>
      </c>
      <c r="K2" s="2">
        <v>0</v>
      </c>
      <c r="M2" s="2">
        <v>2</v>
      </c>
      <c r="O2" s="3" t="s">
        <v>12</v>
      </c>
      <c r="P2" s="2">
        <v>0</v>
      </c>
      <c r="Q2" s="2">
        <v>1</v>
      </c>
      <c r="S2" s="7">
        <f>MAX(RSpline!I:I)</f>
        <v>3.591066928207758E-3</v>
      </c>
    </row>
    <row r="3" spans="1:19" x14ac:dyDescent="0.15">
      <c r="A3" s="18">
        <v>0.43561643835616437</v>
      </c>
      <c r="B3" s="19">
        <v>2</v>
      </c>
      <c r="C3" s="3">
        <v>1</v>
      </c>
      <c r="D3" s="18">
        <v>0.43561643835616437</v>
      </c>
      <c r="E3" s="20">
        <v>8.7500000000000008E-3</v>
      </c>
      <c r="F3" s="21">
        <v>100.296875</v>
      </c>
      <c r="G3" s="22">
        <f>F3+100*E3*(1/B3-A3)</f>
        <v>100.35321061643836</v>
      </c>
      <c r="H3" s="2">
        <v>100.33817073802787</v>
      </c>
      <c r="I3" s="2">
        <v>1.4986942936957921E-4</v>
      </c>
      <c r="K3" s="2">
        <v>2</v>
      </c>
      <c r="O3" s="3" t="s">
        <v>13</v>
      </c>
      <c r="P3" s="2">
        <v>0</v>
      </c>
      <c r="Q3" s="2">
        <v>-2.2809687136209605E-3</v>
      </c>
      <c r="S3" s="2" t="s">
        <v>19</v>
      </c>
    </row>
    <row r="4" spans="1:19" x14ac:dyDescent="0.15">
      <c r="A4" s="18">
        <v>0.26438356164383559</v>
      </c>
      <c r="B4" s="19">
        <v>2</v>
      </c>
      <c r="C4" s="3">
        <v>2</v>
      </c>
      <c r="D4" s="18">
        <v>0.76438356164383559</v>
      </c>
      <c r="E4" s="20">
        <v>8.7500000000000008E-3</v>
      </c>
      <c r="F4" s="21">
        <v>100.484375</v>
      </c>
      <c r="G4" s="22">
        <f t="shared" ref="G4:G31" si="0">F4+100*E4*(1/B4-A4)</f>
        <v>100.69053938356164</v>
      </c>
      <c r="H4" s="2">
        <v>100.68765219265207</v>
      </c>
      <c r="I4" s="2">
        <v>2.867390449243057E-5</v>
      </c>
      <c r="K4" s="2">
        <v>10</v>
      </c>
      <c r="O4" s="3" t="s">
        <v>14</v>
      </c>
      <c r="P4" s="2">
        <v>0</v>
      </c>
      <c r="Q4" s="2">
        <v>3.2742731611962086E-4</v>
      </c>
      <c r="S4" s="7">
        <f>AVERAGE(I:I)</f>
        <v>1.486412557895618E-3</v>
      </c>
    </row>
    <row r="5" spans="1:19" x14ac:dyDescent="0.15">
      <c r="A5" s="18">
        <v>0.26575342465753415</v>
      </c>
      <c r="B5" s="19">
        <v>2</v>
      </c>
      <c r="C5" s="3">
        <v>3</v>
      </c>
      <c r="D5" s="18">
        <v>1.2657534246575342</v>
      </c>
      <c r="E5" s="20">
        <v>7.4999999999999997E-3</v>
      </c>
      <c r="F5" s="21">
        <v>100.5</v>
      </c>
      <c r="G5" s="22">
        <f t="shared" si="0"/>
        <v>100.67568493150685</v>
      </c>
      <c r="H5" s="2">
        <v>100.74541568551501</v>
      </c>
      <c r="I5" s="2">
        <v>6.9262756002705784E-4</v>
      </c>
      <c r="K5" s="2">
        <v>25</v>
      </c>
      <c r="O5" s="3" t="s">
        <v>25</v>
      </c>
      <c r="P5" s="2">
        <v>0</v>
      </c>
      <c r="Q5" s="2">
        <v>-6.9524903474250358E-4</v>
      </c>
    </row>
    <row r="6" spans="1:19" x14ac:dyDescent="0.15">
      <c r="A6" s="18">
        <v>0.4342465753424658</v>
      </c>
      <c r="B6" s="19">
        <v>2</v>
      </c>
      <c r="C6" s="3">
        <v>4</v>
      </c>
      <c r="D6" s="18">
        <v>1.9342465753424658</v>
      </c>
      <c r="E6" s="20">
        <v>6.2500000000000003E-3</v>
      </c>
      <c r="F6" s="21">
        <v>100.3125</v>
      </c>
      <c r="G6" s="22">
        <f t="shared" si="0"/>
        <v>100.35359589041096</v>
      </c>
      <c r="H6" s="2">
        <v>100.42309723804397</v>
      </c>
      <c r="I6" s="2">
        <v>6.9256459637883846E-4</v>
      </c>
      <c r="O6" s="3" t="s">
        <v>26</v>
      </c>
      <c r="P6" s="2">
        <v>2</v>
      </c>
      <c r="Q6" s="2">
        <v>8.871646567122091E-4</v>
      </c>
    </row>
    <row r="7" spans="1:19" x14ac:dyDescent="0.15">
      <c r="A7" s="18">
        <v>1.9178082191780632E-2</v>
      </c>
      <c r="B7" s="19">
        <v>2</v>
      </c>
      <c r="C7" s="3">
        <v>5</v>
      </c>
      <c r="D7" s="18">
        <v>2.0191780821917806</v>
      </c>
      <c r="E7" s="20">
        <v>3.7499999999999999E-3</v>
      </c>
      <c r="F7" s="21">
        <v>99.78125</v>
      </c>
      <c r="G7" s="22">
        <f t="shared" si="0"/>
        <v>99.961558219178087</v>
      </c>
      <c r="H7" s="2">
        <v>100.03468021518557</v>
      </c>
      <c r="I7" s="2">
        <v>7.3150116214832977E-4</v>
      </c>
      <c r="O7" s="3" t="s">
        <v>27</v>
      </c>
      <c r="P7" s="2">
        <v>10</v>
      </c>
      <c r="Q7" s="2">
        <v>-2.0299308040261854E-4</v>
      </c>
    </row>
    <row r="8" spans="1:19" x14ac:dyDescent="0.15">
      <c r="A8" s="18">
        <v>0.47534246575342465</v>
      </c>
      <c r="B8" s="19">
        <v>2</v>
      </c>
      <c r="C8" s="3">
        <v>6</v>
      </c>
      <c r="D8" s="18">
        <v>2.9753424657534246</v>
      </c>
      <c r="E8" s="20">
        <v>7.4999999999999997E-3</v>
      </c>
      <c r="F8" s="21">
        <v>100.15625</v>
      </c>
      <c r="G8" s="22">
        <f t="shared" si="0"/>
        <v>100.17474315068493</v>
      </c>
      <c r="H8" s="2">
        <v>100.09252463593096</v>
      </c>
      <c r="I8" s="2">
        <v>8.2075094148532793E-4</v>
      </c>
      <c r="O8" s="3" t="s">
        <v>28</v>
      </c>
      <c r="P8" s="2">
        <v>25</v>
      </c>
      <c r="Q8" s="2">
        <v>4.8309698207087484E-5</v>
      </c>
    </row>
    <row r="9" spans="1:19" x14ac:dyDescent="0.15">
      <c r="A9" s="18">
        <v>0.35342465753424657</v>
      </c>
      <c r="B9" s="19">
        <v>2</v>
      </c>
      <c r="C9" s="3">
        <v>7</v>
      </c>
      <c r="D9" s="18">
        <v>3.3534246575342466</v>
      </c>
      <c r="E9" s="20">
        <v>1.4999999999999999E-2</v>
      </c>
      <c r="F9" s="21">
        <v>102.34375</v>
      </c>
      <c r="G9" s="22">
        <f t="shared" si="0"/>
        <v>102.56361301369863</v>
      </c>
      <c r="H9" s="2">
        <v>102.39539018611036</v>
      </c>
      <c r="I9" s="2">
        <v>1.6401803977576163E-3</v>
      </c>
      <c r="O9" s="3"/>
    </row>
    <row r="10" spans="1:19" x14ac:dyDescent="0.15">
      <c r="A10" s="18">
        <v>0.10000000000000009</v>
      </c>
      <c r="B10" s="19">
        <v>2</v>
      </c>
      <c r="C10" s="3">
        <v>8</v>
      </c>
      <c r="D10" s="18">
        <v>3.6</v>
      </c>
      <c r="E10" s="20">
        <v>1.7500000000000002E-2</v>
      </c>
      <c r="F10" s="21">
        <v>103.078125</v>
      </c>
      <c r="G10" s="22">
        <f t="shared" si="0"/>
        <v>103.778125</v>
      </c>
      <c r="H10" s="2">
        <v>103.64225553189137</v>
      </c>
      <c r="I10" s="2">
        <v>1.3092303229475157E-3</v>
      </c>
      <c r="O10" s="3"/>
    </row>
    <row r="11" spans="1:19" x14ac:dyDescent="0.15">
      <c r="A11" s="18">
        <v>0.26849315068493151</v>
      </c>
      <c r="B11" s="19">
        <v>2</v>
      </c>
      <c r="C11" s="3">
        <v>9</v>
      </c>
      <c r="D11" s="18">
        <v>4.2684931506849315</v>
      </c>
      <c r="E11" s="20">
        <v>2.1250000000000002E-2</v>
      </c>
      <c r="F11" s="21">
        <v>104.1875</v>
      </c>
      <c r="G11" s="22">
        <f t="shared" si="0"/>
        <v>104.67945205479452</v>
      </c>
      <c r="H11" s="2">
        <v>104.65142445038568</v>
      </c>
      <c r="I11" s="2">
        <v>2.6774695375914883E-4</v>
      </c>
    </row>
    <row r="12" spans="1:19" x14ac:dyDescent="0.15">
      <c r="A12" s="18">
        <v>0.43424657534246602</v>
      </c>
      <c r="B12" s="19">
        <v>2</v>
      </c>
      <c r="C12" s="3">
        <v>10</v>
      </c>
      <c r="D12" s="18">
        <v>4.934246575342466</v>
      </c>
      <c r="E12" s="20">
        <v>1.7500000000000002E-2</v>
      </c>
      <c r="F12" s="21">
        <v>102.0625</v>
      </c>
      <c r="G12" s="22">
        <f t="shared" si="0"/>
        <v>102.17756849315069</v>
      </c>
      <c r="H12" s="2">
        <v>102.10442019388678</v>
      </c>
      <c r="I12" s="2">
        <v>7.1589391235914223E-4</v>
      </c>
    </row>
    <row r="13" spans="1:19" x14ac:dyDescent="0.15">
      <c r="A13" s="18">
        <v>0.22739726027397289</v>
      </c>
      <c r="B13" s="19">
        <v>2</v>
      </c>
      <c r="C13" s="3">
        <v>11</v>
      </c>
      <c r="D13" s="18">
        <v>5.2273972602739729</v>
      </c>
      <c r="E13" s="20">
        <v>4.4999999999999998E-2</v>
      </c>
      <c r="F13" s="21">
        <v>115.90625</v>
      </c>
      <c r="G13" s="22">
        <f t="shared" si="0"/>
        <v>117.13296232876712</v>
      </c>
      <c r="H13" s="2">
        <v>116.87355024007032</v>
      </c>
      <c r="I13" s="2">
        <v>2.2146805095622146E-3</v>
      </c>
    </row>
    <row r="14" spans="1:19" x14ac:dyDescent="0.15">
      <c r="A14" s="18">
        <v>0.102739726027397</v>
      </c>
      <c r="B14" s="19">
        <v>2</v>
      </c>
      <c r="C14" s="3">
        <v>12</v>
      </c>
      <c r="D14" s="18">
        <v>5.602739726027397</v>
      </c>
      <c r="E14" s="20">
        <v>2.375E-2</v>
      </c>
      <c r="F14" s="21">
        <v>104.359375</v>
      </c>
      <c r="G14" s="22">
        <f t="shared" si="0"/>
        <v>105.30286815068493</v>
      </c>
      <c r="H14" s="2">
        <v>105.51247191632066</v>
      </c>
      <c r="I14" s="2">
        <v>1.9904848682354773E-3</v>
      </c>
    </row>
    <row r="15" spans="1:19" x14ac:dyDescent="0.15">
      <c r="A15" s="18">
        <v>0.27123287671232887</v>
      </c>
      <c r="B15" s="19">
        <v>2</v>
      </c>
      <c r="C15" s="3">
        <v>13</v>
      </c>
      <c r="D15" s="18">
        <v>6.2712328767123289</v>
      </c>
      <c r="E15" s="20">
        <v>2.75E-2</v>
      </c>
      <c r="F15" s="21">
        <v>105.859375</v>
      </c>
      <c r="G15" s="22">
        <f t="shared" si="0"/>
        <v>106.48848458904109</v>
      </c>
      <c r="H15" s="2">
        <v>106.83894186916336</v>
      </c>
      <c r="I15" s="2">
        <v>3.2910345327454953E-3</v>
      </c>
    </row>
    <row r="16" spans="1:19" x14ac:dyDescent="0.15">
      <c r="A16" s="18">
        <v>0.43698630136986338</v>
      </c>
      <c r="B16" s="19">
        <v>2</v>
      </c>
      <c r="C16" s="3">
        <v>14</v>
      </c>
      <c r="D16" s="18">
        <v>6.9369863013698634</v>
      </c>
      <c r="E16" s="20">
        <v>2.375E-2</v>
      </c>
      <c r="F16" s="21">
        <v>102.96875</v>
      </c>
      <c r="G16" s="22">
        <f t="shared" si="0"/>
        <v>103.11840753424657</v>
      </c>
      <c r="H16" s="2">
        <v>103.32219335824476</v>
      </c>
      <c r="I16" s="2">
        <v>1.9762312944030824E-3</v>
      </c>
    </row>
    <row r="17" spans="1:9" x14ac:dyDescent="0.15">
      <c r="A17" s="18">
        <v>0.4821917808219176</v>
      </c>
      <c r="B17" s="19">
        <v>2</v>
      </c>
      <c r="C17" s="3">
        <v>15</v>
      </c>
      <c r="D17" s="18">
        <v>7.4821917808219176</v>
      </c>
      <c r="E17" s="20">
        <v>3.5000000000000003E-2</v>
      </c>
      <c r="F17" s="21">
        <v>110.53125</v>
      </c>
      <c r="G17" s="22">
        <f t="shared" si="0"/>
        <v>110.59357876712329</v>
      </c>
      <c r="H17" s="2">
        <v>110.47421894432968</v>
      </c>
      <c r="I17" s="2">
        <v>1.0792653979029641E-3</v>
      </c>
    </row>
    <row r="18" spans="1:9" x14ac:dyDescent="0.15">
      <c r="A18" s="18">
        <v>0.22602739726027377</v>
      </c>
      <c r="B18" s="19">
        <v>2</v>
      </c>
      <c r="C18" s="3">
        <v>16</v>
      </c>
      <c r="D18" s="18">
        <v>7.7260273972602738</v>
      </c>
      <c r="E18" s="20">
        <v>3.875E-2</v>
      </c>
      <c r="F18" s="21">
        <v>113.09375</v>
      </c>
      <c r="G18" s="22">
        <f t="shared" si="0"/>
        <v>114.15539383561644</v>
      </c>
      <c r="H18" s="2">
        <v>114.08964661219827</v>
      </c>
      <c r="I18" s="2">
        <v>5.759449572119821E-4</v>
      </c>
    </row>
    <row r="19" spans="1:9" x14ac:dyDescent="0.15">
      <c r="A19" s="18">
        <v>0.4821917808219176</v>
      </c>
      <c r="B19" s="19">
        <v>2</v>
      </c>
      <c r="C19" s="3">
        <v>17</v>
      </c>
      <c r="D19" s="18">
        <v>8.4821917808219176</v>
      </c>
      <c r="E19" s="20">
        <v>2.75E-2</v>
      </c>
      <c r="F19" s="21">
        <v>103.984375</v>
      </c>
      <c r="G19" s="22">
        <f t="shared" si="0"/>
        <v>104.03334760273972</v>
      </c>
      <c r="H19" s="2">
        <v>103.96642675763496</v>
      </c>
      <c r="I19" s="2">
        <v>6.4326340204204444E-4</v>
      </c>
    </row>
    <row r="20" spans="1:9" x14ac:dyDescent="0.15">
      <c r="A20" s="18">
        <v>0.22602739726027465</v>
      </c>
      <c r="B20" s="19">
        <v>2</v>
      </c>
      <c r="C20" s="3">
        <v>18</v>
      </c>
      <c r="D20" s="18">
        <v>8.7260273972602747</v>
      </c>
      <c r="E20" s="20">
        <v>3.125E-2</v>
      </c>
      <c r="F20" s="21">
        <v>106.5</v>
      </c>
      <c r="G20" s="22">
        <f t="shared" si="0"/>
        <v>107.35616438356165</v>
      </c>
      <c r="H20" s="2">
        <v>107.50423066836767</v>
      </c>
      <c r="I20" s="2">
        <v>1.3792061746637108E-3</v>
      </c>
    </row>
    <row r="21" spans="1:9" x14ac:dyDescent="0.15">
      <c r="A21" s="18">
        <v>0.23013698630136936</v>
      </c>
      <c r="B21" s="19">
        <v>2</v>
      </c>
      <c r="C21" s="3">
        <v>19</v>
      </c>
      <c r="D21" s="18">
        <v>9.2301369863013694</v>
      </c>
      <c r="E21" s="20">
        <v>3.3750000000000002E-2</v>
      </c>
      <c r="F21" s="21">
        <v>108</v>
      </c>
      <c r="G21" s="22">
        <f t="shared" si="0"/>
        <v>108.91078767123288</v>
      </c>
      <c r="H21" s="2">
        <v>109.17978109425847</v>
      </c>
      <c r="I21" s="2">
        <v>2.4698510476078577E-3</v>
      </c>
    </row>
    <row r="22" spans="1:9" x14ac:dyDescent="0.15">
      <c r="A22" s="18">
        <v>0.48082191780821937</v>
      </c>
      <c r="B22" s="19">
        <v>2</v>
      </c>
      <c r="C22" s="3">
        <v>20</v>
      </c>
      <c r="D22" s="18">
        <v>9.9808219178082194</v>
      </c>
      <c r="E22" s="20">
        <v>2.6249999999999999E-2</v>
      </c>
      <c r="F22" s="21">
        <v>101.1875</v>
      </c>
      <c r="G22" s="22">
        <f t="shared" si="0"/>
        <v>101.23784246575343</v>
      </c>
      <c r="H22" s="2">
        <v>100.87429059779156</v>
      </c>
      <c r="I22" s="2">
        <v>3.591066928207758E-3</v>
      </c>
    </row>
    <row r="23" spans="1:9" x14ac:dyDescent="0.15">
      <c r="A23" s="18">
        <v>0.49315068493150704</v>
      </c>
      <c r="B23" s="19">
        <v>2</v>
      </c>
      <c r="C23" s="3">
        <v>51</v>
      </c>
      <c r="D23" s="18">
        <v>25.493150684931507</v>
      </c>
      <c r="E23" s="20">
        <v>4.4999999999999998E-2</v>
      </c>
      <c r="F23" s="21">
        <v>117.578125</v>
      </c>
      <c r="G23" s="22">
        <f t="shared" si="0"/>
        <v>117.60894691780823</v>
      </c>
      <c r="H23" s="2">
        <v>117.80192302067896</v>
      </c>
      <c r="I23" s="2">
        <v>1.6408284227355E-3</v>
      </c>
    </row>
    <row r="24" spans="1:9" x14ac:dyDescent="0.15">
      <c r="A24" s="18">
        <v>0.49589041095890352</v>
      </c>
      <c r="B24" s="19">
        <v>2</v>
      </c>
      <c r="C24" s="3">
        <v>53</v>
      </c>
      <c r="D24" s="18">
        <v>26.495890410958904</v>
      </c>
      <c r="E24" s="20">
        <v>4.7500000000000001E-2</v>
      </c>
      <c r="F24" s="21">
        <v>122.28125</v>
      </c>
      <c r="G24" s="22">
        <f t="shared" si="0"/>
        <v>122.30077054794521</v>
      </c>
      <c r="H24" s="2">
        <v>122.16475781621173</v>
      </c>
      <c r="I24" s="2">
        <v>1.112116719494848E-3</v>
      </c>
    </row>
    <row r="25" spans="1:9" x14ac:dyDescent="0.15">
      <c r="A25" s="18">
        <v>0.23972602739726057</v>
      </c>
      <c r="B25" s="19">
        <v>2</v>
      </c>
      <c r="C25" s="3">
        <v>54</v>
      </c>
      <c r="D25" s="18">
        <v>26.739726027397261</v>
      </c>
      <c r="E25" s="20">
        <v>0.05</v>
      </c>
      <c r="F25" s="21">
        <v>126.96875</v>
      </c>
      <c r="G25" s="22">
        <f t="shared" si="0"/>
        <v>128.27011986301369</v>
      </c>
      <c r="H25" s="2">
        <v>127.96041017248099</v>
      </c>
      <c r="I25" s="2">
        <v>2.4145115858896387E-3</v>
      </c>
    </row>
    <row r="26" spans="1:9" x14ac:dyDescent="0.15">
      <c r="A26" s="18">
        <v>0.49589041095890352</v>
      </c>
      <c r="B26" s="19">
        <v>2</v>
      </c>
      <c r="C26" s="3">
        <v>55</v>
      </c>
      <c r="D26" s="18">
        <v>27.495890410958904</v>
      </c>
      <c r="E26" s="20">
        <v>4.3749999999999997E-2</v>
      </c>
      <c r="F26" s="21">
        <v>115.1875</v>
      </c>
      <c r="G26" s="22">
        <f t="shared" si="0"/>
        <v>115.2054794520548</v>
      </c>
      <c r="H26" s="2">
        <v>115.24949279572104</v>
      </c>
      <c r="I26" s="2">
        <v>3.8204210316709393E-4</v>
      </c>
    </row>
    <row r="27" spans="1:9" x14ac:dyDescent="0.15">
      <c r="A27" s="18">
        <v>0.23972602739726057</v>
      </c>
      <c r="B27" s="19">
        <v>2</v>
      </c>
      <c r="C27" s="3">
        <v>56</v>
      </c>
      <c r="D27" s="18">
        <v>27.739726027397261</v>
      </c>
      <c r="E27" s="20">
        <v>4.4999999999999998E-2</v>
      </c>
      <c r="F27" s="21">
        <v>117.46875</v>
      </c>
      <c r="G27" s="22">
        <f t="shared" si="0"/>
        <v>118.63998287671232</v>
      </c>
      <c r="H27" s="2">
        <v>118.6725004634237</v>
      </c>
      <c r="I27" s="2">
        <v>2.7408623908155782E-4</v>
      </c>
    </row>
    <row r="28" spans="1:9" x14ac:dyDescent="0.15">
      <c r="A28" s="18">
        <v>0.49589041095890352</v>
      </c>
      <c r="B28" s="19">
        <v>2</v>
      </c>
      <c r="C28" s="3">
        <v>57</v>
      </c>
      <c r="D28" s="18">
        <v>28.495890410958904</v>
      </c>
      <c r="E28" s="20">
        <v>3.5000000000000003E-2</v>
      </c>
      <c r="F28" s="21">
        <v>98.984375</v>
      </c>
      <c r="G28" s="22">
        <f t="shared" si="0"/>
        <v>98.998758561643839</v>
      </c>
      <c r="H28" s="2">
        <v>98.76338737251983</v>
      </c>
      <c r="I28" s="2">
        <v>2.377516572366413E-3</v>
      </c>
    </row>
    <row r="29" spans="1:9" x14ac:dyDescent="0.15">
      <c r="A29" s="18">
        <v>0.23972602739726057</v>
      </c>
      <c r="B29" s="19">
        <v>2</v>
      </c>
      <c r="C29" s="3">
        <v>58</v>
      </c>
      <c r="D29" s="18">
        <v>28.739726027397261</v>
      </c>
      <c r="E29" s="20">
        <v>4.2500000000000003E-2</v>
      </c>
      <c r="F29" s="21">
        <v>112.4375</v>
      </c>
      <c r="G29" s="22">
        <f t="shared" si="0"/>
        <v>113.54366438356165</v>
      </c>
      <c r="H29" s="2">
        <v>113.84366639474842</v>
      </c>
      <c r="I29" s="2">
        <v>2.6421730601660053E-3</v>
      </c>
    </row>
    <row r="30" spans="1:9" x14ac:dyDescent="0.15">
      <c r="A30" s="18">
        <v>0.24383561643835705</v>
      </c>
      <c r="B30" s="19">
        <v>2</v>
      </c>
      <c r="C30" s="3">
        <v>59</v>
      </c>
      <c r="D30" s="18">
        <v>29.243835616438357</v>
      </c>
      <c r="E30" s="20">
        <v>4.3749999999999997E-2</v>
      </c>
      <c r="F30" s="21">
        <v>114.671875</v>
      </c>
      <c r="G30" s="22">
        <f t="shared" si="0"/>
        <v>115.79259417808218</v>
      </c>
      <c r="H30" s="2">
        <v>116.17398208112597</v>
      </c>
      <c r="I30" s="2">
        <v>3.2937158524770187E-3</v>
      </c>
    </row>
    <row r="31" spans="1:9" x14ac:dyDescent="0.15">
      <c r="A31" s="18">
        <v>0.49452054794520706</v>
      </c>
      <c r="B31" s="19">
        <v>2</v>
      </c>
      <c r="C31" s="3">
        <v>60</v>
      </c>
      <c r="D31" s="18">
        <v>29.994520547945207</v>
      </c>
      <c r="E31" s="20">
        <v>3.875E-2</v>
      </c>
      <c r="F31" s="21">
        <v>105.75</v>
      </c>
      <c r="G31" s="22">
        <f t="shared" si="0"/>
        <v>105.77123287671232</v>
      </c>
      <c r="H31" s="2">
        <v>105.48470862018154</v>
      </c>
      <c r="I31" s="2">
        <v>2.7089053302872725E-3</v>
      </c>
    </row>
    <row r="32" spans="1:9" x14ac:dyDescent="0.15">
      <c r="A32" s="10"/>
      <c r="B32" s="11"/>
      <c r="D32" s="12"/>
      <c r="E32" s="13"/>
      <c r="F32" s="12"/>
      <c r="G32" s="14"/>
    </row>
    <row r="33" spans="1:7" x14ac:dyDescent="0.15">
      <c r="A33" s="10"/>
      <c r="B33" s="11"/>
      <c r="D33" s="12"/>
      <c r="E33" s="13"/>
      <c r="F33" s="12"/>
      <c r="G33" s="14"/>
    </row>
    <row r="34" spans="1:7" x14ac:dyDescent="0.15">
      <c r="A34" s="10"/>
      <c r="B34" s="11"/>
      <c r="D34" s="12"/>
      <c r="E34" s="13"/>
      <c r="F34" s="12"/>
      <c r="G34" s="14"/>
    </row>
    <row r="35" spans="1:7" x14ac:dyDescent="0.15">
      <c r="A35" s="10"/>
      <c r="B35" s="11"/>
      <c r="D35" s="12"/>
      <c r="E35" s="13"/>
      <c r="F35" s="12"/>
      <c r="G35" s="14"/>
    </row>
    <row r="36" spans="1:7" x14ac:dyDescent="0.15">
      <c r="A36" s="10"/>
      <c r="B36" s="11"/>
      <c r="D36" s="12"/>
      <c r="E36" s="13"/>
      <c r="F36" s="12"/>
      <c r="G36" s="14"/>
    </row>
    <row r="37" spans="1:7" x14ac:dyDescent="0.15">
      <c r="A37" s="10"/>
      <c r="B37" s="11"/>
      <c r="D37" s="12"/>
      <c r="E37" s="13"/>
      <c r="F37" s="12"/>
      <c r="G37" s="14"/>
    </row>
    <row r="38" spans="1:7" x14ac:dyDescent="0.15">
      <c r="A38" s="10"/>
      <c r="B38" s="11"/>
      <c r="D38" s="12"/>
      <c r="E38" s="13"/>
      <c r="F38" s="12"/>
      <c r="G38" s="14"/>
    </row>
    <row r="39" spans="1:7" x14ac:dyDescent="0.15">
      <c r="A39" s="10"/>
      <c r="B39" s="11"/>
      <c r="D39" s="12"/>
      <c r="E39" s="13"/>
      <c r="F39" s="12"/>
      <c r="G39" s="14"/>
    </row>
    <row r="40" spans="1:7" x14ac:dyDescent="0.15">
      <c r="A40" s="10"/>
      <c r="B40" s="11"/>
      <c r="D40" s="12"/>
      <c r="E40" s="13"/>
      <c r="F40" s="12"/>
      <c r="G40" s="14"/>
    </row>
    <row r="41" spans="1:7" x14ac:dyDescent="0.15">
      <c r="A41" s="10"/>
      <c r="B41" s="11"/>
      <c r="D41" s="12"/>
      <c r="E41" s="13"/>
      <c r="F41" s="12"/>
      <c r="G41" s="14"/>
    </row>
    <row r="42" spans="1:7" x14ac:dyDescent="0.15">
      <c r="A42" s="10"/>
      <c r="B42" s="11"/>
      <c r="D42" s="12"/>
      <c r="E42" s="13"/>
      <c r="F42" s="12"/>
      <c r="G42" s="14"/>
    </row>
    <row r="43" spans="1:7" x14ac:dyDescent="0.15">
      <c r="A43" s="10"/>
      <c r="B43" s="11"/>
      <c r="D43" s="12"/>
      <c r="E43" s="13"/>
      <c r="F43" s="12"/>
      <c r="G43" s="14"/>
    </row>
    <row r="44" spans="1:7" x14ac:dyDescent="0.15">
      <c r="A44" s="10"/>
      <c r="B44" s="11"/>
      <c r="D44" s="12"/>
      <c r="E44" s="13"/>
      <c r="F44" s="12"/>
      <c r="G44" s="14"/>
    </row>
    <row r="45" spans="1:7" x14ac:dyDescent="0.15">
      <c r="A45" s="10"/>
      <c r="B45" s="11"/>
      <c r="D45" s="12"/>
      <c r="E45" s="13"/>
      <c r="F45" s="12"/>
      <c r="G45" s="14"/>
    </row>
    <row r="46" spans="1:7" x14ac:dyDescent="0.15">
      <c r="A46" s="10"/>
      <c r="B46" s="11"/>
      <c r="D46" s="12"/>
      <c r="E46" s="13"/>
      <c r="F46" s="12"/>
      <c r="G46" s="14"/>
    </row>
    <row r="47" spans="1:7" x14ac:dyDescent="0.15">
      <c r="A47" s="10"/>
      <c r="B47" s="11"/>
      <c r="D47" s="12"/>
      <c r="E47" s="13"/>
      <c r="F47" s="12"/>
      <c r="G47" s="14"/>
    </row>
    <row r="48" spans="1:7" x14ac:dyDescent="0.15">
      <c r="A48" s="10"/>
      <c r="B48" s="11"/>
      <c r="D48" s="12"/>
      <c r="E48" s="13"/>
      <c r="F48" s="12"/>
      <c r="G48" s="14"/>
    </row>
    <row r="49" spans="1:7" x14ac:dyDescent="0.15">
      <c r="A49" s="10"/>
      <c r="B49" s="11"/>
      <c r="D49" s="12"/>
      <c r="E49" s="13"/>
      <c r="F49" s="12"/>
      <c r="G49" s="14"/>
    </row>
    <row r="50" spans="1:7" x14ac:dyDescent="0.15">
      <c r="A50" s="10"/>
      <c r="D50" s="12"/>
      <c r="E50" s="13"/>
      <c r="F50" s="12"/>
      <c r="G50" s="14"/>
    </row>
    <row r="51" spans="1:7" x14ac:dyDescent="0.15">
      <c r="A51" s="10"/>
      <c r="D51" s="12"/>
      <c r="E51" s="13"/>
      <c r="F51" s="12"/>
      <c r="G51" s="14"/>
    </row>
    <row r="52" spans="1:7" x14ac:dyDescent="0.15">
      <c r="A52" s="10"/>
      <c r="D52" s="12"/>
      <c r="E52" s="13"/>
      <c r="F52" s="12"/>
      <c r="G52" s="14"/>
    </row>
    <row r="53" spans="1:7" x14ac:dyDescent="0.15">
      <c r="A53" s="10"/>
      <c r="D53" s="12"/>
      <c r="E53" s="13"/>
      <c r="F53" s="12"/>
      <c r="G53" s="14"/>
    </row>
    <row r="54" spans="1:7" x14ac:dyDescent="0.15">
      <c r="A54" s="10"/>
      <c r="D54" s="12"/>
      <c r="E54" s="13"/>
      <c r="F54" s="12"/>
      <c r="G54" s="14"/>
    </row>
    <row r="55" spans="1:7" x14ac:dyDescent="0.15">
      <c r="A55" s="10"/>
      <c r="D55" s="12"/>
      <c r="E55" s="13"/>
      <c r="F55" s="12"/>
      <c r="G55" s="14"/>
    </row>
    <row r="56" spans="1:7" x14ac:dyDescent="0.15">
      <c r="A56" s="10"/>
      <c r="D56" s="12"/>
      <c r="E56" s="13"/>
      <c r="F56" s="12"/>
      <c r="G56" s="14"/>
    </row>
    <row r="57" spans="1:7" x14ac:dyDescent="0.15">
      <c r="A57" s="10"/>
      <c r="D57" s="12"/>
      <c r="E57" s="13"/>
      <c r="F57" s="12"/>
      <c r="G57" s="14"/>
    </row>
    <row r="58" spans="1:7" x14ac:dyDescent="0.15">
      <c r="A58" s="10"/>
      <c r="D58" s="12"/>
      <c r="E58" s="13"/>
      <c r="F58" s="12"/>
      <c r="G58" s="14"/>
    </row>
    <row r="59" spans="1:7" x14ac:dyDescent="0.15">
      <c r="A59" s="10"/>
      <c r="D59" s="12"/>
      <c r="E59" s="13"/>
      <c r="F59" s="12"/>
      <c r="G59" s="14"/>
    </row>
    <row r="60" spans="1:7" x14ac:dyDescent="0.15">
      <c r="A60" s="10"/>
      <c r="D60" s="12"/>
      <c r="E60" s="13"/>
      <c r="F60" s="12"/>
      <c r="G60" s="14"/>
    </row>
    <row r="61" spans="1:7" x14ac:dyDescent="0.15">
      <c r="A61" s="10"/>
      <c r="D61" s="12"/>
      <c r="E61" s="13"/>
      <c r="F61" s="12"/>
      <c r="G61" s="14"/>
    </row>
    <row r="62" spans="1:7" x14ac:dyDescent="0.15">
      <c r="A62" s="10"/>
      <c r="D62" s="12"/>
      <c r="E62" s="13"/>
      <c r="F62" s="12"/>
      <c r="G62" s="14"/>
    </row>
    <row r="63" spans="1:7" x14ac:dyDescent="0.15">
      <c r="A63" s="10"/>
      <c r="D63" s="12"/>
      <c r="E63" s="13"/>
      <c r="F63" s="12"/>
      <c r="G63" s="14"/>
    </row>
    <row r="64" spans="1:7" x14ac:dyDescent="0.15">
      <c r="A64" s="10"/>
      <c r="D64" s="12"/>
      <c r="E64" s="13"/>
      <c r="F64" s="12"/>
      <c r="G64" s="14"/>
    </row>
    <row r="65" spans="1:7" x14ac:dyDescent="0.15">
      <c r="A65" s="10"/>
      <c r="D65" s="12"/>
      <c r="E65" s="13"/>
      <c r="F65" s="12"/>
      <c r="G65" s="14"/>
    </row>
    <row r="66" spans="1:7" x14ac:dyDescent="0.15">
      <c r="A66" s="10"/>
      <c r="D66" s="12"/>
      <c r="E66" s="13"/>
      <c r="F66" s="12"/>
      <c r="G66" s="14"/>
    </row>
    <row r="67" spans="1:7" x14ac:dyDescent="0.15">
      <c r="A67" s="10"/>
      <c r="D67" s="12"/>
      <c r="E67" s="13"/>
      <c r="F67" s="12"/>
      <c r="G67" s="14"/>
    </row>
    <row r="68" spans="1:7" x14ac:dyDescent="0.15">
      <c r="A68" s="10"/>
      <c r="D68" s="12"/>
      <c r="E68" s="13"/>
      <c r="F68" s="12"/>
      <c r="G68" s="14"/>
    </row>
    <row r="69" spans="1:7" x14ac:dyDescent="0.15">
      <c r="A69" s="10"/>
      <c r="D69" s="12"/>
      <c r="E69" s="13"/>
      <c r="F69" s="12"/>
      <c r="G69" s="14"/>
    </row>
    <row r="70" spans="1:7" x14ac:dyDescent="0.15">
      <c r="A70" s="10"/>
      <c r="D70" s="12"/>
      <c r="E70" s="13"/>
      <c r="F70" s="12"/>
      <c r="G70" s="14"/>
    </row>
    <row r="71" spans="1:7" x14ac:dyDescent="0.15">
      <c r="A71" s="10"/>
      <c r="D71" s="12"/>
      <c r="E71" s="13"/>
      <c r="F71" s="12"/>
      <c r="G71" s="14"/>
    </row>
    <row r="72" spans="1:7" x14ac:dyDescent="0.15">
      <c r="A72" s="10"/>
      <c r="D72" s="12"/>
      <c r="E72" s="13"/>
      <c r="F72" s="12"/>
      <c r="G72" s="14"/>
    </row>
    <row r="73" spans="1:7" x14ac:dyDescent="0.15">
      <c r="A73" s="10"/>
      <c r="D73" s="12"/>
      <c r="E73" s="13"/>
      <c r="F73" s="12"/>
      <c r="G73" s="14"/>
    </row>
    <row r="74" spans="1:7" x14ac:dyDescent="0.15">
      <c r="A74" s="10"/>
      <c r="D74" s="12"/>
      <c r="E74" s="13"/>
      <c r="F74" s="12"/>
      <c r="G74" s="14"/>
    </row>
    <row r="75" spans="1:7" x14ac:dyDescent="0.15">
      <c r="A75" s="10"/>
      <c r="D75" s="12"/>
      <c r="E75" s="13"/>
      <c r="F75" s="12"/>
      <c r="G75" s="14"/>
    </row>
    <row r="76" spans="1:7" x14ac:dyDescent="0.15">
      <c r="A76" s="10"/>
      <c r="D76" s="12"/>
      <c r="E76" s="13"/>
      <c r="F76" s="12"/>
      <c r="G76" s="14"/>
    </row>
    <row r="77" spans="1:7" x14ac:dyDescent="0.15">
      <c r="A77" s="10"/>
      <c r="D77" s="12"/>
      <c r="E77" s="13"/>
      <c r="F77" s="12"/>
      <c r="G77" s="14"/>
    </row>
    <row r="78" spans="1:7" x14ac:dyDescent="0.15">
      <c r="A78" s="10"/>
      <c r="D78" s="12"/>
      <c r="E78" s="13"/>
      <c r="F78" s="12"/>
      <c r="G78" s="14"/>
    </row>
    <row r="79" spans="1:7" x14ac:dyDescent="0.15">
      <c r="A79" s="10"/>
      <c r="D79" s="12"/>
      <c r="E79" s="13"/>
      <c r="F79" s="12"/>
      <c r="G79" s="14"/>
    </row>
    <row r="80" spans="1:7" x14ac:dyDescent="0.15">
      <c r="A80" s="10"/>
      <c r="D80" s="12"/>
      <c r="E80" s="13"/>
      <c r="F80" s="12"/>
      <c r="G80" s="14"/>
    </row>
    <row r="81" spans="1:7" x14ac:dyDescent="0.15">
      <c r="A81" s="10"/>
      <c r="D81" s="12"/>
      <c r="E81" s="13"/>
      <c r="F81" s="12"/>
      <c r="G81" s="14"/>
    </row>
    <row r="82" spans="1:7" x14ac:dyDescent="0.15">
      <c r="A82" s="10"/>
      <c r="D82" s="12"/>
      <c r="E82" s="13"/>
      <c r="F82" s="12"/>
      <c r="G82" s="14"/>
    </row>
    <row r="83" spans="1:7" x14ac:dyDescent="0.15">
      <c r="A83" s="10"/>
      <c r="D83" s="12"/>
      <c r="E83" s="13"/>
      <c r="F83" s="12"/>
      <c r="G83" s="14"/>
    </row>
    <row r="84" spans="1:7" x14ac:dyDescent="0.15">
      <c r="A84" s="10"/>
      <c r="D84" s="12"/>
      <c r="E84" s="13"/>
      <c r="F84" s="12"/>
      <c r="G84" s="14"/>
    </row>
    <row r="85" spans="1:7" x14ac:dyDescent="0.15">
      <c r="A85" s="10"/>
      <c r="D85" s="12"/>
      <c r="E85" s="13"/>
      <c r="F85" s="12"/>
      <c r="G85" s="14"/>
    </row>
    <row r="86" spans="1:7" x14ac:dyDescent="0.15">
      <c r="A86" s="10"/>
      <c r="D86" s="12"/>
      <c r="E86" s="13"/>
      <c r="F86" s="12"/>
      <c r="G86" s="14"/>
    </row>
    <row r="87" spans="1:7" x14ac:dyDescent="0.15">
      <c r="A87" s="10"/>
      <c r="D87" s="12"/>
      <c r="E87" s="13"/>
      <c r="F87" s="12"/>
      <c r="G87" s="14"/>
    </row>
    <row r="88" spans="1:7" x14ac:dyDescent="0.15">
      <c r="A88" s="10"/>
      <c r="D88" s="12"/>
      <c r="E88" s="13"/>
      <c r="F88" s="12"/>
      <c r="G88" s="14"/>
    </row>
    <row r="89" spans="1:7" x14ac:dyDescent="0.15">
      <c r="A89" s="10"/>
      <c r="D89" s="12"/>
      <c r="E89" s="13"/>
      <c r="F89" s="12"/>
      <c r="G89" s="14"/>
    </row>
    <row r="90" spans="1:7" x14ac:dyDescent="0.15">
      <c r="A90" s="10"/>
      <c r="D90" s="12"/>
      <c r="E90" s="13"/>
      <c r="F90" s="12"/>
      <c r="G90" s="14"/>
    </row>
    <row r="91" spans="1:7" x14ac:dyDescent="0.15">
      <c r="A91" s="10"/>
      <c r="D91" s="12"/>
      <c r="E91" s="13"/>
      <c r="F91" s="12"/>
      <c r="G91" s="14"/>
    </row>
    <row r="92" spans="1:7" x14ac:dyDescent="0.15">
      <c r="A92" s="10"/>
      <c r="D92" s="12"/>
      <c r="E92" s="13"/>
      <c r="F92" s="12"/>
      <c r="G92" s="14"/>
    </row>
    <row r="93" spans="1:7" x14ac:dyDescent="0.15">
      <c r="A93" s="10"/>
      <c r="D93" s="12"/>
      <c r="E93" s="13"/>
      <c r="F93" s="12"/>
      <c r="G93" s="14"/>
    </row>
    <row r="94" spans="1:7" x14ac:dyDescent="0.15">
      <c r="A94" s="10"/>
      <c r="D94" s="12"/>
      <c r="E94" s="13"/>
      <c r="F94" s="12"/>
      <c r="G94" s="14"/>
    </row>
    <row r="95" spans="1:7" x14ac:dyDescent="0.15">
      <c r="A95" s="10"/>
      <c r="D95" s="12"/>
      <c r="E95" s="13"/>
      <c r="F95" s="12"/>
      <c r="G95" s="14"/>
    </row>
    <row r="96" spans="1:7" x14ac:dyDescent="0.15">
      <c r="A96" s="10"/>
      <c r="D96" s="12"/>
      <c r="E96" s="13"/>
      <c r="F96" s="12"/>
      <c r="G96" s="14"/>
    </row>
    <row r="97" spans="1:7" x14ac:dyDescent="0.15">
      <c r="A97" s="10"/>
      <c r="D97" s="12"/>
      <c r="E97" s="13"/>
      <c r="F97" s="12"/>
      <c r="G97" s="14"/>
    </row>
    <row r="98" spans="1:7" x14ac:dyDescent="0.15">
      <c r="A98" s="10"/>
      <c r="D98" s="12"/>
      <c r="E98" s="13"/>
      <c r="F98" s="12"/>
      <c r="G98" s="14"/>
    </row>
    <row r="99" spans="1:7" x14ac:dyDescent="0.15">
      <c r="A99" s="10"/>
      <c r="D99" s="12"/>
      <c r="E99" s="13"/>
      <c r="F99" s="12"/>
      <c r="G99" s="14"/>
    </row>
    <row r="100" spans="1:7" x14ac:dyDescent="0.15">
      <c r="A100" s="10"/>
      <c r="D100" s="12"/>
      <c r="E100" s="13"/>
      <c r="F100" s="12"/>
      <c r="G100" s="14"/>
    </row>
    <row r="101" spans="1:7" x14ac:dyDescent="0.15">
      <c r="A101" s="10"/>
      <c r="D101" s="12"/>
      <c r="E101" s="13"/>
      <c r="F101" s="12"/>
      <c r="G101" s="14"/>
    </row>
    <row r="102" spans="1:7" x14ac:dyDescent="0.15">
      <c r="A102" s="10"/>
      <c r="D102" s="12"/>
      <c r="E102" s="13"/>
      <c r="F102" s="12"/>
      <c r="G102" s="14"/>
    </row>
    <row r="103" spans="1:7" x14ac:dyDescent="0.15">
      <c r="A103" s="10"/>
      <c r="D103" s="12"/>
      <c r="E103" s="13"/>
      <c r="F103" s="12"/>
      <c r="G103" s="14"/>
    </row>
    <row r="104" spans="1:7" x14ac:dyDescent="0.15">
      <c r="A104" s="10"/>
      <c r="D104" s="12"/>
      <c r="E104" s="13"/>
      <c r="F104" s="12"/>
      <c r="G104" s="14"/>
    </row>
    <row r="105" spans="1:7" x14ac:dyDescent="0.15">
      <c r="A105" s="10"/>
      <c r="D105" s="12"/>
      <c r="E105" s="13"/>
      <c r="F105" s="12"/>
      <c r="G105" s="14"/>
    </row>
    <row r="106" spans="1:7" x14ac:dyDescent="0.15">
      <c r="A106" s="10"/>
      <c r="D106" s="12"/>
      <c r="E106" s="13"/>
      <c r="F106" s="12"/>
      <c r="G106" s="14"/>
    </row>
    <row r="107" spans="1:7" x14ac:dyDescent="0.15">
      <c r="A107" s="10"/>
      <c r="D107" s="12"/>
      <c r="E107" s="13"/>
      <c r="F107" s="12"/>
      <c r="G107" s="14"/>
    </row>
    <row r="108" spans="1:7" x14ac:dyDescent="0.15">
      <c r="A108" s="10"/>
      <c r="D108" s="12"/>
      <c r="E108" s="13"/>
      <c r="F108" s="12"/>
      <c r="G108" s="14"/>
    </row>
    <row r="109" spans="1:7" x14ac:dyDescent="0.15">
      <c r="A109" s="10"/>
      <c r="D109" s="12"/>
      <c r="E109" s="13"/>
      <c r="F109" s="12"/>
      <c r="G109" s="14"/>
    </row>
    <row r="110" spans="1:7" x14ac:dyDescent="0.15">
      <c r="A110" s="10"/>
      <c r="D110" s="12"/>
      <c r="E110" s="13"/>
      <c r="F110" s="12"/>
      <c r="G110" s="14"/>
    </row>
    <row r="111" spans="1:7" x14ac:dyDescent="0.15">
      <c r="A111" s="10"/>
      <c r="D111" s="12"/>
      <c r="E111" s="13"/>
      <c r="F111" s="12"/>
      <c r="G111" s="14"/>
    </row>
    <row r="112" spans="1:7" x14ac:dyDescent="0.15">
      <c r="A112" s="10"/>
      <c r="D112" s="12"/>
      <c r="E112" s="13"/>
      <c r="F112" s="12"/>
      <c r="G112" s="14"/>
    </row>
    <row r="113" spans="1:7" x14ac:dyDescent="0.15">
      <c r="A113" s="10"/>
      <c r="D113" s="12"/>
      <c r="E113" s="13"/>
      <c r="F113" s="12"/>
      <c r="G113" s="14"/>
    </row>
    <row r="114" spans="1:7" x14ac:dyDescent="0.15">
      <c r="A114" s="10"/>
      <c r="D114" s="12"/>
      <c r="E114" s="13"/>
      <c r="F114" s="12"/>
      <c r="G114" s="14"/>
    </row>
    <row r="115" spans="1:7" x14ac:dyDescent="0.15">
      <c r="A115" s="10"/>
      <c r="D115" s="12"/>
      <c r="E115" s="13"/>
      <c r="F115" s="12"/>
      <c r="G115" s="14"/>
    </row>
    <row r="116" spans="1:7" x14ac:dyDescent="0.15">
      <c r="A116" s="10"/>
      <c r="D116" s="12"/>
      <c r="E116" s="13"/>
      <c r="F116" s="12"/>
      <c r="G116" s="14"/>
    </row>
    <row r="117" spans="1:7" x14ac:dyDescent="0.15">
      <c r="A117" s="10"/>
      <c r="D117" s="12"/>
      <c r="E117" s="13"/>
      <c r="F117" s="12"/>
      <c r="G117" s="14"/>
    </row>
    <row r="118" spans="1:7" x14ac:dyDescent="0.15">
      <c r="A118" s="10"/>
      <c r="D118" s="12"/>
      <c r="E118" s="13"/>
      <c r="F118" s="12"/>
      <c r="G118" s="14"/>
    </row>
    <row r="119" spans="1:7" x14ac:dyDescent="0.15">
      <c r="A119" s="10"/>
      <c r="D119" s="12"/>
      <c r="E119" s="13"/>
      <c r="F119" s="12"/>
      <c r="G119" s="14"/>
    </row>
    <row r="120" spans="1:7" x14ac:dyDescent="0.15">
      <c r="A120" s="10"/>
      <c r="D120" s="12"/>
      <c r="E120" s="13"/>
      <c r="F120" s="12"/>
      <c r="G120" s="14"/>
    </row>
    <row r="121" spans="1:7" x14ac:dyDescent="0.15">
      <c r="A121" s="10"/>
      <c r="D121" s="12"/>
      <c r="E121" s="13"/>
      <c r="F121" s="12"/>
      <c r="G121" s="14"/>
    </row>
    <row r="122" spans="1:7" x14ac:dyDescent="0.15">
      <c r="A122" s="10"/>
      <c r="D122" s="12"/>
      <c r="E122" s="13"/>
      <c r="F122" s="12"/>
      <c r="G122" s="14"/>
    </row>
    <row r="123" spans="1:7" x14ac:dyDescent="0.15">
      <c r="A123" s="10"/>
      <c r="D123" s="12"/>
      <c r="E123" s="13"/>
      <c r="F123" s="12"/>
      <c r="G123" s="14"/>
    </row>
    <row r="124" spans="1:7" x14ac:dyDescent="0.15">
      <c r="A124" s="10"/>
      <c r="D124" s="12"/>
      <c r="E124" s="13"/>
      <c r="F124" s="12"/>
      <c r="G124" s="14"/>
    </row>
    <row r="125" spans="1:7" x14ac:dyDescent="0.15">
      <c r="A125" s="10"/>
      <c r="D125" s="12"/>
      <c r="E125" s="13"/>
      <c r="F125" s="12"/>
      <c r="G125" s="14"/>
    </row>
    <row r="126" spans="1:7" x14ac:dyDescent="0.15">
      <c r="A126" s="10"/>
      <c r="D126" s="12"/>
      <c r="E126" s="13"/>
      <c r="F126" s="12"/>
      <c r="G126" s="14"/>
    </row>
    <row r="127" spans="1:7" x14ac:dyDescent="0.15">
      <c r="A127" s="10"/>
      <c r="D127" s="12"/>
      <c r="E127" s="13"/>
      <c r="F127" s="12"/>
      <c r="G127" s="14"/>
    </row>
    <row r="128" spans="1:7" x14ac:dyDescent="0.15">
      <c r="A128" s="10"/>
      <c r="D128" s="12"/>
      <c r="E128" s="13"/>
      <c r="F128" s="12"/>
      <c r="G128" s="14"/>
    </row>
    <row r="129" spans="1:7" x14ac:dyDescent="0.15">
      <c r="A129" s="10"/>
      <c r="D129" s="12"/>
      <c r="E129" s="13"/>
      <c r="F129" s="12"/>
      <c r="G129" s="14"/>
    </row>
    <row r="130" spans="1:7" x14ac:dyDescent="0.15">
      <c r="A130" s="10"/>
      <c r="D130" s="12"/>
      <c r="E130" s="13"/>
      <c r="F130" s="12"/>
      <c r="G130" s="14"/>
    </row>
    <row r="131" spans="1:7" x14ac:dyDescent="0.15">
      <c r="A131" s="10"/>
      <c r="D131" s="12"/>
      <c r="E131" s="13"/>
      <c r="F131" s="12"/>
      <c r="G131" s="14"/>
    </row>
    <row r="132" spans="1:7" x14ac:dyDescent="0.15">
      <c r="A132" s="10"/>
      <c r="D132" s="12"/>
      <c r="E132" s="13"/>
      <c r="F132" s="12"/>
      <c r="G132" s="14"/>
    </row>
    <row r="133" spans="1:7" x14ac:dyDescent="0.15">
      <c r="A133" s="10"/>
      <c r="D133" s="12"/>
      <c r="E133" s="13"/>
      <c r="F133" s="12"/>
      <c r="G133" s="14"/>
    </row>
    <row r="134" spans="1:7" x14ac:dyDescent="0.15">
      <c r="A134" s="10"/>
      <c r="D134" s="12"/>
      <c r="E134" s="13"/>
      <c r="F134" s="12"/>
      <c r="G134" s="14"/>
    </row>
    <row r="135" spans="1:7" x14ac:dyDescent="0.15">
      <c r="A135" s="10"/>
      <c r="D135" s="12"/>
      <c r="E135" s="13"/>
      <c r="F135" s="12"/>
      <c r="G135" s="14"/>
    </row>
    <row r="136" spans="1:7" x14ac:dyDescent="0.15">
      <c r="A136" s="10"/>
      <c r="D136" s="12"/>
      <c r="E136" s="13"/>
      <c r="F136" s="12"/>
      <c r="G136" s="14"/>
    </row>
    <row r="137" spans="1:7" x14ac:dyDescent="0.15">
      <c r="A137" s="10"/>
      <c r="D137" s="12"/>
      <c r="E137" s="13"/>
      <c r="F137" s="12"/>
      <c r="G137" s="14"/>
    </row>
    <row r="138" spans="1:7" x14ac:dyDescent="0.15">
      <c r="A138" s="10"/>
      <c r="D138" s="12"/>
      <c r="E138" s="13"/>
      <c r="F138" s="12"/>
      <c r="G138" s="14"/>
    </row>
    <row r="139" spans="1:7" x14ac:dyDescent="0.15">
      <c r="A139" s="10"/>
      <c r="D139" s="12"/>
      <c r="E139" s="13"/>
      <c r="F139" s="12"/>
      <c r="G139" s="14"/>
    </row>
    <row r="140" spans="1:7" x14ac:dyDescent="0.15">
      <c r="A140" s="10"/>
      <c r="D140" s="12"/>
      <c r="E140" s="13"/>
      <c r="F140" s="12"/>
      <c r="G140" s="14"/>
    </row>
    <row r="141" spans="1:7" x14ac:dyDescent="0.15">
      <c r="A141" s="10"/>
      <c r="D141" s="12"/>
      <c r="E141" s="13"/>
      <c r="F141" s="12"/>
      <c r="G141" s="14"/>
    </row>
    <row r="142" spans="1:7" x14ac:dyDescent="0.15">
      <c r="A142" s="10"/>
      <c r="D142" s="12"/>
      <c r="E142" s="13"/>
      <c r="F142" s="12"/>
      <c r="G142" s="14"/>
    </row>
    <row r="143" spans="1:7" x14ac:dyDescent="0.15">
      <c r="A143" s="10"/>
      <c r="D143" s="12"/>
      <c r="E143" s="13"/>
      <c r="F143" s="12"/>
      <c r="G143" s="14"/>
    </row>
    <row r="144" spans="1:7" x14ac:dyDescent="0.15">
      <c r="A144" s="10"/>
      <c r="D144" s="12"/>
      <c r="E144" s="13"/>
      <c r="F144" s="12"/>
      <c r="G144" s="14"/>
    </row>
    <row r="145" spans="1:7" x14ac:dyDescent="0.15">
      <c r="A145" s="10"/>
      <c r="D145" s="12"/>
      <c r="E145" s="13"/>
      <c r="F145" s="12"/>
      <c r="G145" s="14"/>
    </row>
    <row r="146" spans="1:7" x14ac:dyDescent="0.15">
      <c r="A146" s="10"/>
      <c r="D146" s="12"/>
      <c r="E146" s="13"/>
      <c r="F146" s="12"/>
      <c r="G146" s="14"/>
    </row>
    <row r="147" spans="1:7" x14ac:dyDescent="0.15">
      <c r="A147" s="10"/>
      <c r="D147" s="12"/>
      <c r="E147" s="13"/>
      <c r="F147" s="12"/>
      <c r="G147" s="14"/>
    </row>
    <row r="148" spans="1:7" x14ac:dyDescent="0.15">
      <c r="A148" s="10"/>
      <c r="D148" s="12"/>
      <c r="E148" s="13"/>
      <c r="F148" s="12"/>
      <c r="G148" s="14"/>
    </row>
    <row r="149" spans="1:7" x14ac:dyDescent="0.15">
      <c r="A149" s="10"/>
      <c r="D149" s="12"/>
      <c r="E149" s="13"/>
      <c r="F149" s="12"/>
      <c r="G149" s="14"/>
    </row>
    <row r="150" spans="1:7" x14ac:dyDescent="0.15">
      <c r="A150" s="10"/>
      <c r="D150" s="12"/>
      <c r="E150" s="13"/>
      <c r="F150" s="12"/>
      <c r="G150" s="14"/>
    </row>
    <row r="151" spans="1:7" x14ac:dyDescent="0.15">
      <c r="A151" s="10"/>
      <c r="D151" s="12"/>
      <c r="E151" s="13"/>
      <c r="F151" s="12"/>
      <c r="G151" s="14"/>
    </row>
    <row r="152" spans="1:7" x14ac:dyDescent="0.15">
      <c r="A152" s="10"/>
      <c r="D152" s="12"/>
      <c r="E152" s="13"/>
      <c r="F152" s="12"/>
      <c r="G152" s="14"/>
    </row>
    <row r="153" spans="1:7" x14ac:dyDescent="0.15">
      <c r="A153" s="10"/>
      <c r="D153" s="12"/>
      <c r="E153" s="13"/>
      <c r="F153" s="12"/>
      <c r="G153" s="14"/>
    </row>
    <row r="154" spans="1:7" x14ac:dyDescent="0.15">
      <c r="A154" s="10"/>
      <c r="D154" s="12"/>
      <c r="E154" s="13"/>
      <c r="F154" s="12"/>
      <c r="G154" s="14"/>
    </row>
    <row r="155" spans="1:7" x14ac:dyDescent="0.15">
      <c r="A155" s="10"/>
      <c r="D155" s="12"/>
      <c r="E155" s="13"/>
      <c r="F155" s="12"/>
      <c r="G155" s="14"/>
    </row>
    <row r="156" spans="1:7" x14ac:dyDescent="0.15">
      <c r="A156" s="10"/>
      <c r="D156" s="12"/>
      <c r="E156" s="13"/>
      <c r="F156" s="12"/>
      <c r="G156" s="14"/>
    </row>
    <row r="157" spans="1:7" x14ac:dyDescent="0.15">
      <c r="A157" s="10"/>
      <c r="D157" s="12"/>
      <c r="E157" s="13"/>
      <c r="F157" s="12"/>
      <c r="G157" s="14"/>
    </row>
    <row r="158" spans="1:7" x14ac:dyDescent="0.15">
      <c r="A158" s="10"/>
      <c r="D158" s="12"/>
      <c r="E158" s="13"/>
      <c r="F158" s="12"/>
      <c r="G158" s="14"/>
    </row>
    <row r="159" spans="1:7" x14ac:dyDescent="0.15">
      <c r="A159" s="10"/>
      <c r="D159" s="12"/>
      <c r="E159" s="13"/>
      <c r="F159" s="12"/>
      <c r="G159" s="14"/>
    </row>
    <row r="160" spans="1:7" x14ac:dyDescent="0.15">
      <c r="A160" s="10"/>
      <c r="D160" s="12"/>
      <c r="E160" s="13"/>
      <c r="F160" s="12"/>
      <c r="G160" s="14"/>
    </row>
    <row r="161" spans="1:7" x14ac:dyDescent="0.15">
      <c r="A161" s="10"/>
      <c r="D161" s="12"/>
      <c r="E161" s="13"/>
      <c r="F161" s="12"/>
      <c r="G161" s="14"/>
    </row>
    <row r="162" spans="1:7" x14ac:dyDescent="0.15">
      <c r="A162" s="10"/>
      <c r="D162" s="12"/>
      <c r="E162" s="13"/>
      <c r="F162" s="12"/>
      <c r="G162" s="14"/>
    </row>
    <row r="163" spans="1:7" x14ac:dyDescent="0.15">
      <c r="A163" s="10"/>
      <c r="D163" s="12"/>
      <c r="E163" s="13"/>
      <c r="F163" s="12"/>
      <c r="G163" s="14"/>
    </row>
    <row r="164" spans="1:7" x14ac:dyDescent="0.15">
      <c r="A164" s="10"/>
      <c r="D164" s="12"/>
      <c r="E164" s="13"/>
      <c r="F164" s="12"/>
      <c r="G164" s="14"/>
    </row>
    <row r="165" spans="1:7" x14ac:dyDescent="0.15">
      <c r="A165" s="10"/>
      <c r="D165" s="12"/>
      <c r="E165" s="13"/>
      <c r="F165" s="12"/>
      <c r="G165" s="14"/>
    </row>
    <row r="166" spans="1:7" x14ac:dyDescent="0.15">
      <c r="A166" s="10"/>
      <c r="D166" s="12"/>
      <c r="E166" s="13"/>
      <c r="F166" s="12"/>
      <c r="G166" s="14"/>
    </row>
    <row r="167" spans="1:7" x14ac:dyDescent="0.15">
      <c r="A167" s="10"/>
      <c r="D167" s="12"/>
      <c r="E167" s="13"/>
      <c r="F167" s="12"/>
      <c r="G167" s="14"/>
    </row>
    <row r="168" spans="1:7" x14ac:dyDescent="0.15">
      <c r="A168" s="10"/>
      <c r="D168" s="12"/>
      <c r="E168" s="13"/>
      <c r="F168" s="12"/>
      <c r="G168" s="14"/>
    </row>
    <row r="169" spans="1:7" x14ac:dyDescent="0.15">
      <c r="A169" s="10"/>
      <c r="D169" s="12"/>
      <c r="E169" s="13"/>
      <c r="F169" s="12"/>
      <c r="G169" s="14"/>
    </row>
    <row r="170" spans="1:7" x14ac:dyDescent="0.15">
      <c r="A170" s="10"/>
      <c r="D170" s="12"/>
      <c r="E170" s="13"/>
      <c r="F170" s="12"/>
      <c r="G170" s="14"/>
    </row>
    <row r="171" spans="1:7" x14ac:dyDescent="0.15">
      <c r="A171" s="10"/>
      <c r="D171" s="12"/>
      <c r="E171" s="13"/>
      <c r="F171" s="12"/>
      <c r="G171" s="14"/>
    </row>
    <row r="172" spans="1:7" x14ac:dyDescent="0.15">
      <c r="A172" s="10"/>
      <c r="D172" s="12"/>
      <c r="E172" s="13"/>
      <c r="F172" s="12"/>
      <c r="G172" s="14"/>
    </row>
    <row r="173" spans="1:7" x14ac:dyDescent="0.15">
      <c r="A173" s="10"/>
      <c r="G173" s="12"/>
    </row>
    <row r="174" spans="1:7" x14ac:dyDescent="0.15">
      <c r="A174" s="10"/>
      <c r="G174" s="12"/>
    </row>
    <row r="175" spans="1:7" x14ac:dyDescent="0.15">
      <c r="A175" s="10"/>
      <c r="G175" s="12"/>
    </row>
    <row r="176" spans="1:7" x14ac:dyDescent="0.15">
      <c r="A176" s="10"/>
      <c r="G176" s="12"/>
    </row>
    <row r="177" spans="1:7" x14ac:dyDescent="0.15">
      <c r="A177" s="10"/>
      <c r="G177" s="12"/>
    </row>
    <row r="178" spans="1:7" x14ac:dyDescent="0.15">
      <c r="A178" s="10"/>
      <c r="G178" s="12"/>
    </row>
    <row r="179" spans="1:7" x14ac:dyDescent="0.15">
      <c r="A179" s="10"/>
      <c r="G179" s="12"/>
    </row>
    <row r="180" spans="1:7" x14ac:dyDescent="0.15">
      <c r="A180" s="10"/>
      <c r="G180" s="12"/>
    </row>
    <row r="181" spans="1:7" x14ac:dyDescent="0.15">
      <c r="A181" s="10"/>
      <c r="G181" s="12"/>
    </row>
    <row r="182" spans="1:7" x14ac:dyDescent="0.15">
      <c r="A182" s="10"/>
      <c r="G182" s="12"/>
    </row>
    <row r="183" spans="1:7" x14ac:dyDescent="0.15">
      <c r="A183" s="10"/>
      <c r="G183" s="12"/>
    </row>
    <row r="184" spans="1:7" x14ac:dyDescent="0.15">
      <c r="A184" s="10"/>
      <c r="G184" s="12"/>
    </row>
    <row r="185" spans="1:7" x14ac:dyDescent="0.15">
      <c r="A185" s="10"/>
      <c r="G185" s="12"/>
    </row>
    <row r="186" spans="1:7" x14ac:dyDescent="0.15">
      <c r="A186" s="10"/>
      <c r="G186" s="12"/>
    </row>
    <row r="187" spans="1:7" x14ac:dyDescent="0.15">
      <c r="A187" s="10"/>
      <c r="G187" s="12"/>
    </row>
    <row r="188" spans="1:7" x14ac:dyDescent="0.15">
      <c r="A188" s="10"/>
      <c r="G188" s="12"/>
    </row>
    <row r="189" spans="1:7" x14ac:dyDescent="0.15">
      <c r="A189" s="10"/>
      <c r="G189" s="12"/>
    </row>
    <row r="190" spans="1:7" x14ac:dyDescent="0.15">
      <c r="A190" s="10"/>
      <c r="G190" s="12"/>
    </row>
    <row r="191" spans="1:7" x14ac:dyDescent="0.15">
      <c r="A191" s="10"/>
      <c r="G191" s="12"/>
    </row>
    <row r="192" spans="1:7" x14ac:dyDescent="0.15">
      <c r="A192" s="10"/>
      <c r="G192" s="12"/>
    </row>
    <row r="193" spans="1:7" x14ac:dyDescent="0.15">
      <c r="A193" s="10"/>
      <c r="G193" s="12"/>
    </row>
    <row r="194" spans="1:7" x14ac:dyDescent="0.15">
      <c r="A194" s="10"/>
      <c r="G194" s="12"/>
    </row>
    <row r="195" spans="1:7" x14ac:dyDescent="0.15">
      <c r="A195" s="10"/>
      <c r="G195" s="12"/>
    </row>
    <row r="196" spans="1:7" x14ac:dyDescent="0.15">
      <c r="A196" s="10"/>
      <c r="G196" s="12"/>
    </row>
    <row r="197" spans="1:7" x14ac:dyDescent="0.15">
      <c r="A197" s="10"/>
      <c r="G197" s="12"/>
    </row>
    <row r="198" spans="1:7" x14ac:dyDescent="0.15">
      <c r="A198" s="10"/>
      <c r="G198" s="12"/>
    </row>
    <row r="199" spans="1:7" x14ac:dyDescent="0.15">
      <c r="A199" s="10"/>
      <c r="G199" s="12"/>
    </row>
    <row r="200" spans="1:7" x14ac:dyDescent="0.15">
      <c r="A200" s="10"/>
      <c r="G200" s="12"/>
    </row>
    <row r="201" spans="1:7" x14ac:dyDescent="0.15">
      <c r="A201" s="10"/>
      <c r="G201" s="12"/>
    </row>
    <row r="202" spans="1:7" x14ac:dyDescent="0.15">
      <c r="A202" s="10"/>
      <c r="G202" s="12"/>
    </row>
    <row r="203" spans="1:7" x14ac:dyDescent="0.15">
      <c r="A203" s="10"/>
      <c r="G203" s="12"/>
    </row>
    <row r="204" spans="1:7" x14ac:dyDescent="0.15">
      <c r="A204" s="10"/>
      <c r="G204" s="12"/>
    </row>
    <row r="205" spans="1:7" x14ac:dyDescent="0.15">
      <c r="A205" s="10"/>
      <c r="G205" s="12"/>
    </row>
    <row r="206" spans="1:7" x14ac:dyDescent="0.15">
      <c r="A206" s="10"/>
      <c r="G206" s="12"/>
    </row>
    <row r="207" spans="1:7" x14ac:dyDescent="0.15">
      <c r="A207" s="10"/>
      <c r="G207" s="12"/>
    </row>
    <row r="208" spans="1:7" x14ac:dyDescent="0.15">
      <c r="A208" s="10"/>
      <c r="G208" s="12"/>
    </row>
    <row r="209" spans="1:7" x14ac:dyDescent="0.15">
      <c r="A209" s="10"/>
      <c r="G209" s="12"/>
    </row>
    <row r="210" spans="1:7" x14ac:dyDescent="0.15">
      <c r="A210" s="10"/>
      <c r="G210" s="12"/>
    </row>
    <row r="211" spans="1:7" x14ac:dyDescent="0.15">
      <c r="A211" s="10"/>
      <c r="G211" s="12"/>
    </row>
    <row r="212" spans="1:7" x14ac:dyDescent="0.15">
      <c r="A212" s="10"/>
      <c r="G212" s="12"/>
    </row>
    <row r="213" spans="1:7" x14ac:dyDescent="0.15">
      <c r="A213" s="10"/>
      <c r="G213" s="12"/>
    </row>
    <row r="214" spans="1:7" x14ac:dyDescent="0.15">
      <c r="A214" s="10"/>
      <c r="G214" s="12"/>
    </row>
    <row r="215" spans="1:7" x14ac:dyDescent="0.15">
      <c r="A215" s="10"/>
      <c r="G215" s="12"/>
    </row>
    <row r="216" spans="1:7" x14ac:dyDescent="0.15">
      <c r="A216" s="10"/>
      <c r="G216" s="12"/>
    </row>
    <row r="217" spans="1:7" x14ac:dyDescent="0.15">
      <c r="A217" s="10"/>
      <c r="G217" s="12"/>
    </row>
    <row r="218" spans="1:7" x14ac:dyDescent="0.15">
      <c r="A218" s="10"/>
      <c r="G218" s="12"/>
    </row>
    <row r="219" spans="1:7" x14ac:dyDescent="0.15">
      <c r="A219" s="10"/>
      <c r="G219" s="12"/>
    </row>
    <row r="220" spans="1:7" x14ac:dyDescent="0.15">
      <c r="A220" s="10"/>
      <c r="G220" s="12"/>
    </row>
    <row r="221" spans="1:7" x14ac:dyDescent="0.15">
      <c r="A221" s="10"/>
      <c r="G221" s="12"/>
    </row>
    <row r="222" spans="1:7" x14ac:dyDescent="0.15">
      <c r="A222" s="10"/>
      <c r="G222" s="12"/>
    </row>
    <row r="223" spans="1:7" x14ac:dyDescent="0.15">
      <c r="A223" s="10"/>
      <c r="G223" s="12"/>
    </row>
    <row r="224" spans="1:7" x14ac:dyDescent="0.15">
      <c r="A224" s="10"/>
      <c r="G224" s="12"/>
    </row>
    <row r="225" spans="1:7" x14ac:dyDescent="0.15">
      <c r="A225" s="10"/>
      <c r="G225" s="12"/>
    </row>
    <row r="226" spans="1:7" x14ac:dyDescent="0.15">
      <c r="A226" s="10"/>
      <c r="G226" s="12"/>
    </row>
    <row r="227" spans="1:7" x14ac:dyDescent="0.15">
      <c r="A227" s="10"/>
      <c r="G227" s="12"/>
    </row>
    <row r="228" spans="1:7" x14ac:dyDescent="0.15">
      <c r="A228" s="10"/>
      <c r="G228" s="12"/>
    </row>
    <row r="229" spans="1:7" x14ac:dyDescent="0.15">
      <c r="A229" s="10"/>
      <c r="G229" s="12"/>
    </row>
    <row r="230" spans="1:7" x14ac:dyDescent="0.15">
      <c r="A230" s="10"/>
      <c r="G230" s="12"/>
    </row>
    <row r="231" spans="1:7" x14ac:dyDescent="0.15">
      <c r="G231" s="12"/>
    </row>
    <row r="232" spans="1:7" x14ac:dyDescent="0.15">
      <c r="G232" s="12"/>
    </row>
    <row r="233" spans="1:7" x14ac:dyDescent="0.15">
      <c r="G233" s="12"/>
    </row>
    <row r="234" spans="1:7" x14ac:dyDescent="0.15">
      <c r="G234" s="12"/>
    </row>
    <row r="235" spans="1:7" x14ac:dyDescent="0.15">
      <c r="G235" s="12"/>
    </row>
    <row r="236" spans="1:7" x14ac:dyDescent="0.15">
      <c r="G236" s="12"/>
    </row>
    <row r="237" spans="1:7" x14ac:dyDescent="0.15">
      <c r="G237" s="12"/>
    </row>
    <row r="238" spans="1:7" x14ac:dyDescent="0.15">
      <c r="G238" s="12"/>
    </row>
    <row r="239" spans="1:7" x14ac:dyDescent="0.15">
      <c r="G239" s="12"/>
    </row>
    <row r="240" spans="1:7" x14ac:dyDescent="0.15">
      <c r="G240" s="12"/>
    </row>
    <row r="241" spans="7:7" x14ac:dyDescent="0.15">
      <c r="G241" s="12"/>
    </row>
    <row r="242" spans="7:7" x14ac:dyDescent="0.15">
      <c r="G242" s="12"/>
    </row>
    <row r="243" spans="7:7" x14ac:dyDescent="0.15">
      <c r="G243" s="12"/>
    </row>
    <row r="244" spans="7:7" x14ac:dyDescent="0.15">
      <c r="G244" s="12"/>
    </row>
    <row r="245" spans="7:7" x14ac:dyDescent="0.15">
      <c r="G245" s="12"/>
    </row>
    <row r="246" spans="7:7" x14ac:dyDescent="0.15">
      <c r="G246" s="12"/>
    </row>
    <row r="247" spans="7:7" x14ac:dyDescent="0.15">
      <c r="G247" s="12"/>
    </row>
    <row r="248" spans="7:7" x14ac:dyDescent="0.15">
      <c r="G248" s="12"/>
    </row>
    <row r="249" spans="7:7" x14ac:dyDescent="0.15">
      <c r="G249" s="12"/>
    </row>
    <row r="250" spans="7:7" x14ac:dyDescent="0.15">
      <c r="G250" s="12"/>
    </row>
    <row r="251" spans="7:7" x14ac:dyDescent="0.15">
      <c r="G251" s="12"/>
    </row>
    <row r="252" spans="7:7" x14ac:dyDescent="0.15">
      <c r="G252" s="12"/>
    </row>
    <row r="253" spans="7:7" x14ac:dyDescent="0.15">
      <c r="G253" s="12"/>
    </row>
    <row r="254" spans="7:7" x14ac:dyDescent="0.15">
      <c r="G254" s="12"/>
    </row>
    <row r="255" spans="7:7" x14ac:dyDescent="0.15">
      <c r="G255" s="12"/>
    </row>
    <row r="256" spans="7:7" x14ac:dyDescent="0.15">
      <c r="G256" s="12"/>
    </row>
    <row r="257" spans="7:7" x14ac:dyDescent="0.15">
      <c r="G257" s="12"/>
    </row>
    <row r="258" spans="7:7" x14ac:dyDescent="0.15">
      <c r="G258" s="12"/>
    </row>
    <row r="259" spans="7:7" x14ac:dyDescent="0.15">
      <c r="G259" s="12"/>
    </row>
    <row r="260" spans="7:7" x14ac:dyDescent="0.15">
      <c r="G260" s="12"/>
    </row>
    <row r="261" spans="7:7" x14ac:dyDescent="0.15">
      <c r="G261" s="12"/>
    </row>
    <row r="262" spans="7:7" x14ac:dyDescent="0.15">
      <c r="G262" s="12"/>
    </row>
    <row r="263" spans="7:7" x14ac:dyDescent="0.15">
      <c r="G263" s="12"/>
    </row>
    <row r="264" spans="7:7" x14ac:dyDescent="0.15">
      <c r="G264" s="12"/>
    </row>
    <row r="265" spans="7:7" x14ac:dyDescent="0.15">
      <c r="G265" s="12"/>
    </row>
    <row r="266" spans="7:7" x14ac:dyDescent="0.15">
      <c r="G266" s="12"/>
    </row>
    <row r="267" spans="7:7" x14ac:dyDescent="0.15">
      <c r="G267" s="12"/>
    </row>
    <row r="268" spans="7:7" x14ac:dyDescent="0.15">
      <c r="G268" s="12"/>
    </row>
    <row r="269" spans="7:7" x14ac:dyDescent="0.15">
      <c r="G269" s="12"/>
    </row>
    <row r="270" spans="7:7" x14ac:dyDescent="0.15">
      <c r="G270" s="12"/>
    </row>
    <row r="271" spans="7:7" x14ac:dyDescent="0.15">
      <c r="G271" s="12"/>
    </row>
    <row r="272" spans="7:7" x14ac:dyDescent="0.15">
      <c r="G272" s="12"/>
    </row>
    <row r="273" spans="7:7" x14ac:dyDescent="0.15">
      <c r="G273" s="12"/>
    </row>
    <row r="274" spans="7:7" x14ac:dyDescent="0.15">
      <c r="G274" s="12"/>
    </row>
    <row r="275" spans="7:7" x14ac:dyDescent="0.15">
      <c r="G275" s="12"/>
    </row>
    <row r="276" spans="7:7" x14ac:dyDescent="0.15">
      <c r="G276" s="12"/>
    </row>
    <row r="277" spans="7:7" x14ac:dyDescent="0.15">
      <c r="G277" s="12"/>
    </row>
    <row r="278" spans="7:7" x14ac:dyDescent="0.15">
      <c r="G278" s="12"/>
    </row>
    <row r="279" spans="7:7" x14ac:dyDescent="0.15">
      <c r="G279" s="12"/>
    </row>
    <row r="280" spans="7:7" x14ac:dyDescent="0.15">
      <c r="G280" s="12"/>
    </row>
    <row r="281" spans="7:7" x14ac:dyDescent="0.15">
      <c r="G281" s="12"/>
    </row>
    <row r="282" spans="7:7" x14ac:dyDescent="0.15">
      <c r="G282" s="12"/>
    </row>
    <row r="283" spans="7:7" x14ac:dyDescent="0.15">
      <c r="G283" s="12"/>
    </row>
    <row r="284" spans="7:7" x14ac:dyDescent="0.15">
      <c r="G284" s="12"/>
    </row>
    <row r="285" spans="7:7" x14ac:dyDescent="0.15">
      <c r="G285" s="12"/>
    </row>
    <row r="286" spans="7:7" x14ac:dyDescent="0.15">
      <c r="G286" s="12"/>
    </row>
    <row r="287" spans="7:7" x14ac:dyDescent="0.15">
      <c r="G287" s="12"/>
    </row>
    <row r="288" spans="7:7" x14ac:dyDescent="0.15">
      <c r="G288" s="12"/>
    </row>
  </sheetData>
  <mergeCells count="2">
    <mergeCell ref="A1:E1"/>
    <mergeCell ref="F1:I1"/>
  </mergeCells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7" r:id="rId4" name="Drop Down 3">
              <controlPr defaultSize="0" autoLine="0" autoPict="0">
                <anchor moveWithCells="1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2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6632" r:id="rId5" name="Button 8">
              <controlPr defaultSize="0" print="0" autoFill="0" autoPict="0" macro="[0]!RSpline_Run">
                <anchor moveWithCells="1" sizeWithCells="1">
                  <from>
                    <xdr:col>12</xdr:col>
                    <xdr:colOff>0</xdr:colOff>
                    <xdr:row>2</xdr:row>
                    <xdr:rowOff>177800</xdr:rowOff>
                  </from>
                  <to>
                    <xdr:col>13</xdr:col>
                    <xdr:colOff>0</xdr:colOff>
                    <xdr:row>4</xdr:row>
                    <xdr:rowOff>25400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D1002"/>
  <sheetViews>
    <sheetView workbookViewId="0">
      <selection activeCell="C2" activeCellId="1" sqref="A1:C65536 A1:C65536"/>
    </sheetView>
  </sheetViews>
  <sheetFormatPr baseColWidth="10" defaultColWidth="8.83203125" defaultRowHeight="16" x14ac:dyDescent="0.15"/>
  <cols>
    <col min="1" max="1" width="6.1640625" style="2" bestFit="1" customWidth="1"/>
    <col min="2" max="2" width="7.5" style="7" customWidth="1"/>
    <col min="3" max="3" width="7.5" style="6" customWidth="1"/>
    <col min="4" max="4" width="4.6640625" style="6" customWidth="1"/>
    <col min="5" max="5" width="15" style="2" customWidth="1"/>
    <col min="6" max="6" width="7.33203125" style="2" customWidth="1"/>
    <col min="7" max="16384" width="8.83203125" style="2"/>
  </cols>
  <sheetData>
    <row r="1" spans="1:4" x14ac:dyDescent="0.15">
      <c r="A1" s="24" t="s">
        <v>21</v>
      </c>
      <c r="B1" s="24"/>
      <c r="C1" s="24"/>
      <c r="D1" s="1"/>
    </row>
    <row r="2" spans="1:4" x14ac:dyDescent="0.15">
      <c r="A2" s="3" t="s">
        <v>15</v>
      </c>
      <c r="B2" s="4" t="s">
        <v>16</v>
      </c>
      <c r="C2" s="1" t="s">
        <v>17</v>
      </c>
      <c r="D2" s="5"/>
    </row>
    <row r="3" spans="1:4" x14ac:dyDescent="0.15">
      <c r="A3" s="3">
        <v>0</v>
      </c>
      <c r="B3" s="2">
        <v>2.2809687136209605E-3</v>
      </c>
      <c r="C3" s="2">
        <v>1</v>
      </c>
      <c r="D3" s="5"/>
    </row>
    <row r="4" spans="1:4" x14ac:dyDescent="0.15">
      <c r="A4" s="3">
        <f>A3+0.1</f>
        <v>0.1</v>
      </c>
      <c r="B4" s="2">
        <v>2.2554328020918794E-3</v>
      </c>
      <c r="C4" s="2">
        <v>0.99977448215276432</v>
      </c>
      <c r="D4" s="5"/>
    </row>
    <row r="5" spans="1:4" x14ac:dyDescent="0.15">
      <c r="A5" s="3">
        <f t="shared" ref="A5:A68" si="0">A4+0.1</f>
        <v>0.2</v>
      </c>
      <c r="B5" s="2">
        <v>2.2437965988021703E-3</v>
      </c>
      <c r="C5" s="2">
        <v>0.99955134135764256</v>
      </c>
      <c r="D5" s="5"/>
    </row>
    <row r="6" spans="1:4" x14ac:dyDescent="0.15">
      <c r="A6" s="3">
        <f t="shared" si="0"/>
        <v>0.30000000000000004</v>
      </c>
      <c r="B6" s="2">
        <v>2.2460694861954752E-3</v>
      </c>
      <c r="C6" s="2">
        <v>0.99932640612042645</v>
      </c>
      <c r="D6" s="5"/>
    </row>
    <row r="7" spans="1:4" x14ac:dyDescent="0.15">
      <c r="A7" s="3">
        <f t="shared" si="0"/>
        <v>0.4</v>
      </c>
      <c r="B7" s="2">
        <v>2.2622608889248702E-3</v>
      </c>
      <c r="C7" s="2">
        <v>0.99909550494690724</v>
      </c>
      <c r="D7" s="5"/>
    </row>
    <row r="8" spans="1:4" x14ac:dyDescent="0.15">
      <c r="A8" s="3">
        <f t="shared" si="0"/>
        <v>0.5</v>
      </c>
      <c r="B8" s="2">
        <v>2.2923805646170642E-3</v>
      </c>
      <c r="C8" s="2">
        <v>0.99885446634287667</v>
      </c>
      <c r="D8" s="5"/>
    </row>
    <row r="9" spans="1:4" x14ac:dyDescent="0.15">
      <c r="A9" s="3">
        <f t="shared" si="0"/>
        <v>0.6</v>
      </c>
      <c r="B9" s="2">
        <v>2.3364388954687505E-3</v>
      </c>
      <c r="C9" s="2">
        <v>0.998599118814126</v>
      </c>
      <c r="D9" s="5"/>
    </row>
    <row r="10" spans="1:4" x14ac:dyDescent="0.15">
      <c r="A10" s="3">
        <f t="shared" si="0"/>
        <v>0.7</v>
      </c>
      <c r="B10" s="2">
        <v>2.3944471807441658E-3</v>
      </c>
      <c r="C10" s="2">
        <v>0.99832529086644728</v>
      </c>
      <c r="D10" s="5"/>
    </row>
    <row r="11" spans="1:4" x14ac:dyDescent="0.15">
      <c r="A11" s="3">
        <f t="shared" si="0"/>
        <v>0.79999999999999993</v>
      </c>
      <c r="B11" s="2">
        <v>2.4664179303116361E-3</v>
      </c>
      <c r="C11" s="2">
        <v>0.99802881100563168</v>
      </c>
      <c r="D11" s="5"/>
    </row>
    <row r="12" spans="1:4" x14ac:dyDescent="0.15">
      <c r="A12" s="3">
        <f t="shared" si="0"/>
        <v>0.89999999999999991</v>
      </c>
      <c r="B12" s="2">
        <v>2.5523651593812925E-3</v>
      </c>
      <c r="C12" s="2">
        <v>0.99770550773747069</v>
      </c>
      <c r="D12" s="5"/>
    </row>
    <row r="13" spans="1:4" x14ac:dyDescent="0.15">
      <c r="A13" s="3">
        <f t="shared" si="0"/>
        <v>0.99999999999999989</v>
      </c>
      <c r="B13" s="2">
        <v>2.6523046846713754E-3</v>
      </c>
      <c r="C13" s="2">
        <v>0.99735120956775614</v>
      </c>
      <c r="D13" s="5"/>
    </row>
    <row r="14" spans="1:4" x14ac:dyDescent="0.15">
      <c r="A14" s="3">
        <f t="shared" si="0"/>
        <v>1.0999999999999999</v>
      </c>
      <c r="B14" s="2">
        <v>2.766254422268067E-3</v>
      </c>
      <c r="C14" s="2">
        <v>0.99696174500227941</v>
      </c>
      <c r="D14" s="5"/>
    </row>
    <row r="15" spans="1:4" x14ac:dyDescent="0.15">
      <c r="A15" s="3">
        <f t="shared" si="0"/>
        <v>1.2</v>
      </c>
      <c r="B15" s="2">
        <v>2.8942346874916455E-3</v>
      </c>
      <c r="C15" s="2">
        <v>0.99653294254683211</v>
      </c>
      <c r="D15" s="5"/>
    </row>
    <row r="16" spans="1:4" x14ac:dyDescent="0.15">
      <c r="A16" s="3">
        <f t="shared" si="0"/>
        <v>1.3</v>
      </c>
      <c r="B16" s="2">
        <v>3.0362684971356776E-3</v>
      </c>
      <c r="C16" s="2">
        <v>0.99606063070720552</v>
      </c>
      <c r="D16" s="5"/>
    </row>
    <row r="17" spans="1:4" x14ac:dyDescent="0.15">
      <c r="A17" s="3">
        <f t="shared" si="0"/>
        <v>1.4000000000000001</v>
      </c>
      <c r="B17" s="2">
        <v>3.1923818744901806E-3</v>
      </c>
      <c r="C17" s="2">
        <v>0.99554063798919168</v>
      </c>
      <c r="D17" s="5"/>
    </row>
    <row r="18" spans="1:4" x14ac:dyDescent="0.15">
      <c r="A18" s="3">
        <f t="shared" si="0"/>
        <v>1.5000000000000002</v>
      </c>
      <c r="B18" s="2">
        <v>3.3626041576170578E-3</v>
      </c>
      <c r="C18" s="2">
        <v>0.99496879289858187</v>
      </c>
      <c r="D18" s="5"/>
    </row>
    <row r="19" spans="1:4" x14ac:dyDescent="0.15">
      <c r="A19" s="3">
        <f t="shared" si="0"/>
        <v>1.6000000000000003</v>
      </c>
      <c r="B19" s="2">
        <v>3.5469683113910555E-3</v>
      </c>
      <c r="C19" s="2">
        <v>0.99434092394116735</v>
      </c>
      <c r="D19" s="5"/>
    </row>
    <row r="20" spans="1:4" x14ac:dyDescent="0.15">
      <c r="A20" s="3">
        <f t="shared" si="0"/>
        <v>1.7000000000000004</v>
      </c>
      <c r="B20" s="2">
        <v>3.7455112438800472E-3</v>
      </c>
      <c r="C20" s="2">
        <v>0.99365285962274019</v>
      </c>
      <c r="D20" s="5"/>
    </row>
    <row r="21" spans="1:4" x14ac:dyDescent="0.15">
      <c r="A21" s="3">
        <f t="shared" si="0"/>
        <v>1.8000000000000005</v>
      </c>
      <c r="B21" s="2">
        <v>3.9582741276939313E-3</v>
      </c>
      <c r="C21" s="2">
        <v>0.99290042844909154</v>
      </c>
      <c r="D21" s="5"/>
    </row>
    <row r="22" spans="1:4" x14ac:dyDescent="0.15">
      <c r="A22" s="3">
        <f t="shared" si="0"/>
        <v>1.9000000000000006</v>
      </c>
      <c r="B22" s="2">
        <v>4.185302726985354E-3</v>
      </c>
      <c r="C22" s="2">
        <v>0.99207945892601324</v>
      </c>
      <c r="D22" s="5"/>
    </row>
    <row r="23" spans="1:4" x14ac:dyDescent="0.15">
      <c r="A23" s="3">
        <f t="shared" si="0"/>
        <v>2.0000000000000004</v>
      </c>
      <c r="B23" s="2">
        <v>4.4266477308542839E-3</v>
      </c>
      <c r="C23" s="2">
        <v>0.99118577955929654</v>
      </c>
      <c r="D23" s="5"/>
    </row>
    <row r="24" spans="1:4" x14ac:dyDescent="0.15">
      <c r="A24" s="3">
        <f t="shared" si="0"/>
        <v>2.1000000000000005</v>
      </c>
      <c r="B24" s="2">
        <v>4.6819384602780779E-3</v>
      </c>
      <c r="C24" s="2">
        <v>0.99021610601938992</v>
      </c>
      <c r="D24" s="5"/>
    </row>
    <row r="25" spans="1:4" x14ac:dyDescent="0.15">
      <c r="A25" s="3">
        <f t="shared" si="0"/>
        <v>2.2000000000000006</v>
      </c>
      <c r="B25" s="2">
        <v>4.9492550019082371E-3</v>
      </c>
      <c r="C25" s="2">
        <v>0.98917070263536844</v>
      </c>
      <c r="D25" s="5"/>
    </row>
    <row r="26" spans="1:4" x14ac:dyDescent="0.15">
      <c r="A26" s="3">
        <f t="shared" si="0"/>
        <v>2.3000000000000007</v>
      </c>
      <c r="B26" s="2">
        <v>5.22662852507384E-3</v>
      </c>
      <c r="C26" s="2">
        <v>0.98805072090096369</v>
      </c>
      <c r="D26" s="5"/>
    </row>
    <row r="27" spans="1:4" x14ac:dyDescent="0.15">
      <c r="A27" s="3">
        <f t="shared" si="0"/>
        <v>2.4000000000000008</v>
      </c>
      <c r="B27" s="2">
        <v>5.5124237755738072E-3</v>
      </c>
      <c r="C27" s="2">
        <v>0.98685731230990792</v>
      </c>
      <c r="D27" s="5"/>
    </row>
    <row r="28" spans="1:4" x14ac:dyDescent="0.15">
      <c r="A28" s="3">
        <f t="shared" si="0"/>
        <v>2.5000000000000009</v>
      </c>
      <c r="B28" s="2">
        <v>5.8052720784017853E-3</v>
      </c>
      <c r="C28" s="2">
        <v>0.98559162835593261</v>
      </c>
      <c r="D28" s="5"/>
    </row>
    <row r="29" spans="1:4" x14ac:dyDescent="0.15">
      <c r="A29" s="3">
        <f t="shared" si="0"/>
        <v>2.600000000000001</v>
      </c>
      <c r="B29" s="2">
        <v>6.1040198073824409E-3</v>
      </c>
      <c r="C29" s="2">
        <v>0.98425482053276969</v>
      </c>
      <c r="D29" s="5"/>
    </row>
    <row r="30" spans="1:4" x14ac:dyDescent="0.15">
      <c r="A30" s="3">
        <f t="shared" si="0"/>
        <v>2.7000000000000011</v>
      </c>
      <c r="B30" s="2">
        <v>6.4076883114351094E-3</v>
      </c>
      <c r="C30" s="2">
        <v>0.98284804033415096</v>
      </c>
      <c r="D30" s="5"/>
    </row>
    <row r="31" spans="1:4" x14ac:dyDescent="0.15">
      <c r="A31" s="3">
        <f t="shared" si="0"/>
        <v>2.8000000000000012</v>
      </c>
      <c r="B31" s="2">
        <v>6.7154424329888022E-3</v>
      </c>
      <c r="C31" s="2">
        <v>0.98137243925380835</v>
      </c>
      <c r="D31" s="5"/>
    </row>
    <row r="32" spans="1:4" x14ac:dyDescent="0.15">
      <c r="A32" s="3">
        <f t="shared" si="0"/>
        <v>2.9000000000000012</v>
      </c>
      <c r="B32" s="2">
        <v>7.0265655442881061E-3</v>
      </c>
      <c r="C32" s="2">
        <v>0.97982916878547355</v>
      </c>
      <c r="D32" s="5"/>
    </row>
    <row r="33" spans="1:4" x14ac:dyDescent="0.15">
      <c r="A33" s="3">
        <f t="shared" si="0"/>
        <v>3.0000000000000013</v>
      </c>
      <c r="B33" s="2">
        <v>7.3404395804774506E-3</v>
      </c>
      <c r="C33" s="2">
        <v>0.97821938042287826</v>
      </c>
      <c r="D33" s="5"/>
    </row>
    <row r="34" spans="1:4" x14ac:dyDescent="0.15">
      <c r="A34" s="3">
        <f t="shared" si="0"/>
        <v>3.1000000000000014</v>
      </c>
      <c r="B34" s="2">
        <v>7.6565289409085031E-3</v>
      </c>
      <c r="C34" s="2">
        <v>0.97654422565975452</v>
      </c>
      <c r="D34" s="5"/>
    </row>
    <row r="35" spans="1:4" x14ac:dyDescent="0.15">
      <c r="A35" s="3">
        <f t="shared" si="0"/>
        <v>3.2000000000000015</v>
      </c>
      <c r="B35" s="2">
        <v>7.9743674122651643E-3</v>
      </c>
      <c r="C35" s="2">
        <v>0.97480485598983413</v>
      </c>
      <c r="D35" s="5"/>
    </row>
    <row r="36" spans="1:4" x14ac:dyDescent="0.15">
      <c r="A36" s="3">
        <f t="shared" si="0"/>
        <v>3.3000000000000016</v>
      </c>
      <c r="B36" s="2">
        <v>8.2935474722988269E-3</v>
      </c>
      <c r="C36" s="2">
        <v>0.9730024229068488</v>
      </c>
      <c r="D36" s="5"/>
    </row>
    <row r="37" spans="1:4" x14ac:dyDescent="0.15">
      <c r="A37" s="3">
        <f t="shared" si="0"/>
        <v>3.4000000000000017</v>
      </c>
      <c r="B37" s="2">
        <v>8.6137114838485563E-3</v>
      </c>
      <c r="C37" s="2">
        <v>0.97113807790453055</v>
      </c>
      <c r="D37" s="5"/>
    </row>
    <row r="38" spans="1:4" x14ac:dyDescent="0.15">
      <c r="A38" s="3">
        <f t="shared" si="0"/>
        <v>3.5000000000000018</v>
      </c>
      <c r="B38" s="2">
        <v>8.9345444009039706E-3</v>
      </c>
      <c r="C38" s="2">
        <v>0.96921297247661087</v>
      </c>
      <c r="D38" s="5"/>
    </row>
    <row r="39" spans="1:4" x14ac:dyDescent="0.15">
      <c r="A39" s="3">
        <f t="shared" si="0"/>
        <v>3.6000000000000019</v>
      </c>
      <c r="B39" s="2">
        <v>9.2557676925287651E-3</v>
      </c>
      <c r="C39" s="2">
        <v>0.96722825811682178</v>
      </c>
      <c r="D39" s="5"/>
    </row>
    <row r="40" spans="1:4" x14ac:dyDescent="0.15">
      <c r="A40" s="3">
        <f t="shared" si="0"/>
        <v>3.700000000000002</v>
      </c>
      <c r="B40" s="2">
        <v>9.5771342540790436E-3</v>
      </c>
      <c r="C40" s="2">
        <v>0.96518508631889499</v>
      </c>
      <c r="D40" s="5"/>
    </row>
    <row r="41" spans="1:4" x14ac:dyDescent="0.15">
      <c r="A41" s="3">
        <f t="shared" si="0"/>
        <v>3.800000000000002</v>
      </c>
      <c r="B41" s="2">
        <v>9.8984241236954405E-3</v>
      </c>
      <c r="C41" s="2">
        <v>0.96308460857656253</v>
      </c>
      <c r="D41" s="5"/>
    </row>
    <row r="42" spans="1:4" x14ac:dyDescent="0.15">
      <c r="A42" s="3">
        <f t="shared" si="0"/>
        <v>3.9000000000000021</v>
      </c>
      <c r="B42" s="2">
        <v>1.0219440859393653E-2</v>
      </c>
      <c r="C42" s="2">
        <v>0.96092797638355609</v>
      </c>
      <c r="D42" s="5"/>
    </row>
    <row r="43" spans="1:4" x14ac:dyDescent="0.15">
      <c r="A43" s="3">
        <f t="shared" si="0"/>
        <v>4.0000000000000018</v>
      </c>
      <c r="B43" s="2">
        <v>1.0540008461017646E-2</v>
      </c>
      <c r="C43" s="2">
        <v>0.95871634123360749</v>
      </c>
      <c r="D43" s="5"/>
    </row>
    <row r="44" spans="1:4" x14ac:dyDescent="0.15">
      <c r="A44" s="3">
        <f t="shared" si="0"/>
        <v>4.1000000000000014</v>
      </c>
      <c r="B44" s="2">
        <v>1.0859968743908793E-2</v>
      </c>
      <c r="C44" s="2">
        <v>0.95645085462044854</v>
      </c>
      <c r="D44" s="5"/>
    </row>
    <row r="45" spans="1:4" x14ac:dyDescent="0.15">
      <c r="A45" s="3">
        <f t="shared" si="0"/>
        <v>4.2000000000000011</v>
      </c>
      <c r="B45" s="2">
        <v>1.1179179088891282E-2</v>
      </c>
      <c r="C45" s="2">
        <v>0.95413266803781094</v>
      </c>
      <c r="D45" s="5"/>
    </row>
    <row r="46" spans="1:4" x14ac:dyDescent="0.15">
      <c r="A46" s="3">
        <f t="shared" si="0"/>
        <v>4.3000000000000007</v>
      </c>
      <c r="B46" s="2">
        <v>1.1497510507206671E-2</v>
      </c>
      <c r="C46" s="2">
        <v>0.95176293297942693</v>
      </c>
      <c r="D46" s="5"/>
    </row>
    <row r="47" spans="1:4" x14ac:dyDescent="0.15">
      <c r="A47" s="3">
        <f t="shared" si="0"/>
        <v>4.4000000000000004</v>
      </c>
      <c r="B47" s="2">
        <v>1.1814845970193768E-2</v>
      </c>
      <c r="C47" s="2">
        <v>0.94934280093902779</v>
      </c>
      <c r="D47" s="5"/>
    </row>
    <row r="48" spans="1:4" x14ac:dyDescent="0.15">
      <c r="A48" s="3">
        <f t="shared" si="0"/>
        <v>4.5</v>
      </c>
      <c r="B48" s="2">
        <v>1.2131078962437538E-2</v>
      </c>
      <c r="C48" s="2">
        <v>0.94687342341034553</v>
      </c>
      <c r="D48" s="5"/>
    </row>
    <row r="49" spans="1:4" x14ac:dyDescent="0.15">
      <c r="A49" s="3">
        <f t="shared" si="0"/>
        <v>4.5999999999999996</v>
      </c>
      <c r="B49" s="2">
        <v>1.2446112224296023E-2</v>
      </c>
      <c r="C49" s="2">
        <v>0.9443559518871123</v>
      </c>
      <c r="D49" s="5"/>
    </row>
    <row r="50" spans="1:4" x14ac:dyDescent="0.15">
      <c r="A50" s="3">
        <f t="shared" si="0"/>
        <v>4.6999999999999993</v>
      </c>
      <c r="B50" s="2">
        <v>1.2759856655519288E-2</v>
      </c>
      <c r="C50" s="2">
        <v>0.94179153786305947</v>
      </c>
      <c r="D50" s="5"/>
    </row>
    <row r="51" spans="1:4" x14ac:dyDescent="0.15">
      <c r="A51" s="3">
        <f t="shared" si="0"/>
        <v>4.7999999999999989</v>
      </c>
      <c r="B51" s="2">
        <v>1.3072230356392461E-2</v>
      </c>
      <c r="C51" s="2">
        <v>0.93918133283191896</v>
      </c>
      <c r="D51" s="5"/>
    </row>
    <row r="52" spans="1:4" x14ac:dyDescent="0.15">
      <c r="A52" s="3">
        <f t="shared" si="0"/>
        <v>4.8999999999999986</v>
      </c>
      <c r="B52" s="2">
        <v>1.3383157786688039E-2</v>
      </c>
      <c r="C52" s="2">
        <v>0.93652648828742269</v>
      </c>
      <c r="D52" s="5"/>
    </row>
    <row r="53" spans="1:4" x14ac:dyDescent="0.15">
      <c r="A53" s="3">
        <f t="shared" si="0"/>
        <v>4.9999999999999982</v>
      </c>
      <c r="B53" s="2">
        <v>1.3692569025869135E-2</v>
      </c>
      <c r="C53" s="2">
        <v>0.93382815572330247</v>
      </c>
      <c r="D53" s="5"/>
    </row>
    <row r="54" spans="1:4" x14ac:dyDescent="0.15">
      <c r="A54" s="3">
        <f t="shared" si="0"/>
        <v>5.0999999999999979</v>
      </c>
      <c r="B54" s="2">
        <v>1.4000399120586891E-2</v>
      </c>
      <c r="C54" s="2">
        <v>0.93108748663329</v>
      </c>
      <c r="D54" s="5"/>
    </row>
    <row r="55" spans="1:4" x14ac:dyDescent="0.15">
      <c r="A55" s="3">
        <f t="shared" si="0"/>
        <v>5.1999999999999975</v>
      </c>
      <c r="B55" s="2">
        <v>1.430658750766566E-2</v>
      </c>
      <c r="C55" s="2">
        <v>0.92830563251111742</v>
      </c>
      <c r="D55" s="5"/>
    </row>
    <row r="56" spans="1:4" x14ac:dyDescent="0.15">
      <c r="A56" s="3">
        <f t="shared" si="0"/>
        <v>5.2999999999999972</v>
      </c>
      <c r="B56" s="2">
        <v>1.4611077502555598E-2</v>
      </c>
      <c r="C56" s="2">
        <v>0.92548374485051621</v>
      </c>
      <c r="D56" s="5"/>
    </row>
    <row r="57" spans="1:4" x14ac:dyDescent="0.15">
      <c r="A57" s="3">
        <f t="shared" si="0"/>
        <v>5.3999999999999968</v>
      </c>
      <c r="B57" s="2">
        <v>1.491381584471884E-2</v>
      </c>
      <c r="C57" s="2">
        <v>0.92262297514521818</v>
      </c>
      <c r="D57" s="5"/>
    </row>
    <row r="58" spans="1:4" x14ac:dyDescent="0.15">
      <c r="A58" s="3">
        <f t="shared" si="0"/>
        <v>5.4999999999999964</v>
      </c>
      <c r="B58" s="2">
        <v>1.5214752292661428E-2</v>
      </c>
      <c r="C58" s="2">
        <v>0.91972447488895526</v>
      </c>
      <c r="D58" s="2"/>
    </row>
    <row r="59" spans="1:4" x14ac:dyDescent="0.15">
      <c r="A59" s="3">
        <f t="shared" si="0"/>
        <v>5.5999999999999961</v>
      </c>
      <c r="B59" s="2">
        <v>1.5513839262366455E-2</v>
      </c>
      <c r="C59" s="2">
        <v>0.91678939557545935</v>
      </c>
      <c r="D59" s="2"/>
    </row>
    <row r="60" spans="1:4" x14ac:dyDescent="0.15">
      <c r="A60" s="3">
        <f t="shared" si="0"/>
        <v>5.6999999999999957</v>
      </c>
      <c r="B60" s="2">
        <v>1.5811031503763871E-2</v>
      </c>
      <c r="C60" s="2">
        <v>0.91381888869846228</v>
      </c>
      <c r="D60" s="2"/>
    </row>
    <row r="61" spans="1:4" x14ac:dyDescent="0.15">
      <c r="A61" s="3">
        <f t="shared" si="0"/>
        <v>5.7999999999999954</v>
      </c>
      <c r="B61" s="2">
        <v>1.6106285810615451E-2</v>
      </c>
      <c r="C61" s="2">
        <v>0.91081410575169552</v>
      </c>
      <c r="D61" s="2"/>
    </row>
    <row r="62" spans="1:4" x14ac:dyDescent="0.15">
      <c r="A62" s="3">
        <f t="shared" si="0"/>
        <v>5.899999999999995</v>
      </c>
      <c r="B62" s="2">
        <v>1.6399560759822875E-2</v>
      </c>
      <c r="C62" s="2">
        <v>0.90777619822889133</v>
      </c>
      <c r="D62" s="2"/>
    </row>
    <row r="63" spans="1:4" x14ac:dyDescent="0.15">
      <c r="A63" s="3">
        <f t="shared" si="0"/>
        <v>5.9999999999999947</v>
      </c>
      <c r="B63" s="2">
        <v>1.6690816476703327E-2</v>
      </c>
      <c r="C63" s="2">
        <v>0.9047063176237814</v>
      </c>
      <c r="D63" s="2"/>
    </row>
    <row r="64" spans="1:4" x14ac:dyDescent="0.15">
      <c r="A64" s="3">
        <f t="shared" si="0"/>
        <v>6.0999999999999943</v>
      </c>
      <c r="B64" s="2">
        <v>1.6980014423231913E-2</v>
      </c>
      <c r="C64" s="2">
        <v>0.90160561543009732</v>
      </c>
      <c r="D64" s="2"/>
    </row>
    <row r="65" spans="1:4" x14ac:dyDescent="0.15">
      <c r="A65" s="3">
        <f t="shared" si="0"/>
        <v>6.199999999999994</v>
      </c>
      <c r="B65" s="2">
        <v>1.7267117206641518E-2</v>
      </c>
      <c r="C65" s="2">
        <v>0.89847524314157123</v>
      </c>
      <c r="D65" s="2"/>
    </row>
    <row r="66" spans="1:4" x14ac:dyDescent="0.15">
      <c r="A66" s="3">
        <f t="shared" si="0"/>
        <v>6.2999999999999936</v>
      </c>
      <c r="B66" s="2">
        <v>1.7552088406105493E-2</v>
      </c>
      <c r="C66" s="2">
        <v>0.89531635225193473</v>
      </c>
      <c r="D66" s="2"/>
    </row>
    <row r="67" spans="1:4" x14ac:dyDescent="0.15">
      <c r="A67" s="3">
        <f t="shared" si="0"/>
        <v>6.3999999999999932</v>
      </c>
      <c r="B67" s="2">
        <v>1.7834892415514961E-2</v>
      </c>
      <c r="C67" s="2">
        <v>0.89213009425491974</v>
      </c>
      <c r="D67" s="2"/>
    </row>
    <row r="68" spans="1:4" x14ac:dyDescent="0.15">
      <c r="A68" s="3">
        <f t="shared" si="0"/>
        <v>6.4999999999999929</v>
      </c>
      <c r="B68" s="2">
        <v>1.8115494300611917E-2</v>
      </c>
      <c r="C68" s="2">
        <v>0.88891762064425806</v>
      </c>
      <c r="D68" s="2"/>
    </row>
    <row r="69" spans="1:4" x14ac:dyDescent="0.15">
      <c r="A69" s="3">
        <f t="shared" ref="A69:A132" si="1">A68+0.1</f>
        <v>6.5999999999999925</v>
      </c>
      <c r="B69" s="2">
        <v>1.839385966895234E-2</v>
      </c>
      <c r="C69" s="2">
        <v>0.88568008291368139</v>
      </c>
      <c r="D69" s="2"/>
    </row>
    <row r="70" spans="1:4" x14ac:dyDescent="0.15">
      <c r="A70" s="3">
        <f t="shared" si="1"/>
        <v>6.6999999999999922</v>
      </c>
      <c r="B70" s="2">
        <v>1.8669954551359582E-2</v>
      </c>
      <c r="C70" s="2">
        <v>0.88241863255692166</v>
      </c>
      <c r="D70" s="2"/>
    </row>
    <row r="71" spans="1:4" x14ac:dyDescent="0.15">
      <c r="A71" s="3">
        <f t="shared" si="1"/>
        <v>6.7999999999999918</v>
      </c>
      <c r="B71" s="2">
        <v>1.8943745293689342E-2</v>
      </c>
      <c r="C71" s="2">
        <v>0.87913442106771067</v>
      </c>
      <c r="D71" s="2"/>
    </row>
    <row r="72" spans="1:4" x14ac:dyDescent="0.15">
      <c r="A72" s="3">
        <f t="shared" si="1"/>
        <v>6.8999999999999915</v>
      </c>
      <c r="B72" s="2">
        <v>1.9215198457867486E-2</v>
      </c>
      <c r="C72" s="2">
        <v>0.87582859993978046</v>
      </c>
      <c r="D72" s="2"/>
    </row>
    <row r="73" spans="1:4" x14ac:dyDescent="0.15">
      <c r="A73" s="3">
        <f t="shared" si="1"/>
        <v>6.9999999999999911</v>
      </c>
      <c r="B73" s="2">
        <v>1.9484280731284581E-2</v>
      </c>
      <c r="C73" s="2">
        <v>0.8725023206668624</v>
      </c>
      <c r="D73" s="2"/>
    </row>
    <row r="74" spans="1:4" x14ac:dyDescent="0.15">
      <c r="A74" s="3">
        <f t="shared" si="1"/>
        <v>7.0999999999999908</v>
      </c>
      <c r="B74" s="2">
        <v>1.9750958843737225E-2</v>
      </c>
      <c r="C74" s="2">
        <v>0.86915673474268862</v>
      </c>
      <c r="D74" s="2"/>
    </row>
    <row r="75" spans="1:4" x14ac:dyDescent="0.15">
      <c r="A75" s="3">
        <f t="shared" si="1"/>
        <v>7.1999999999999904</v>
      </c>
      <c r="B75" s="2">
        <v>2.0015199491201102E-2</v>
      </c>
      <c r="C75" s="2">
        <v>0.86579299366099094</v>
      </c>
      <c r="D75" s="2"/>
    </row>
    <row r="76" spans="1:4" x14ac:dyDescent="0.15">
      <c r="A76" s="3">
        <f t="shared" si="1"/>
        <v>7.2999999999999901</v>
      </c>
      <c r="B76" s="2">
        <v>2.027696926580163E-2</v>
      </c>
      <c r="C76" s="2">
        <v>0.86241224891550083</v>
      </c>
      <c r="D76" s="2"/>
    </row>
    <row r="77" spans="1:4" x14ac:dyDescent="0.15">
      <c r="A77" s="3">
        <f t="shared" si="1"/>
        <v>7.3999999999999897</v>
      </c>
      <c r="B77" s="2">
        <v>2.0536234591421051E-2</v>
      </c>
      <c r="C77" s="2">
        <v>0.85901565199995078</v>
      </c>
      <c r="D77" s="2"/>
    </row>
    <row r="78" spans="1:4" x14ac:dyDescent="0.15">
      <c r="A78" s="3">
        <f t="shared" si="1"/>
        <v>7.4999999999999893</v>
      </c>
      <c r="B78" s="2">
        <v>2.0792961664445376E-2</v>
      </c>
      <c r="C78" s="2">
        <v>0.85560435440807192</v>
      </c>
      <c r="D78" s="2"/>
    </row>
    <row r="79" spans="1:4" x14ac:dyDescent="0.15">
      <c r="A79" s="3">
        <f t="shared" si="1"/>
        <v>7.599999999999989</v>
      </c>
      <c r="B79" s="2">
        <v>2.1047116399208917E-2</v>
      </c>
      <c r="C79" s="2">
        <v>0.8521795076335964</v>
      </c>
      <c r="D79" s="2"/>
    </row>
    <row r="80" spans="1:4" x14ac:dyDescent="0.15">
      <c r="A80" s="3">
        <f t="shared" si="1"/>
        <v>7.6999999999999886</v>
      </c>
      <c r="B80" s="2">
        <v>2.1298664377746815E-2</v>
      </c>
      <c r="C80" s="2">
        <v>0.84874226317025603</v>
      </c>
      <c r="D80" s="2"/>
    </row>
    <row r="81" spans="1:4" x14ac:dyDescent="0.15">
      <c r="A81" s="3">
        <f t="shared" si="1"/>
        <v>7.7999999999999883</v>
      </c>
      <c r="B81" s="2">
        <v>2.1547570803508099E-2</v>
      </c>
      <c r="C81" s="2">
        <v>0.8452937725117825</v>
      </c>
      <c r="D81" s="2"/>
    </row>
    <row r="82" spans="1:4" x14ac:dyDescent="0.15">
      <c r="A82" s="3">
        <f t="shared" si="1"/>
        <v>7.8999999999999879</v>
      </c>
      <c r="B82" s="2">
        <v>2.1793800458722205E-2</v>
      </c>
      <c r="C82" s="2">
        <v>0.84183518715190808</v>
      </c>
      <c r="D82" s="2"/>
    </row>
    <row r="83" spans="1:4" x14ac:dyDescent="0.15">
      <c r="A83" s="3">
        <f t="shared" si="1"/>
        <v>7.9999999999999876</v>
      </c>
      <c r="B83" s="2">
        <v>2.2037317665147532E-2</v>
      </c>
      <c r="C83" s="2">
        <v>0.83836765858436368</v>
      </c>
      <c r="D83" s="2"/>
    </row>
    <row r="84" spans="1:4" x14ac:dyDescent="0.15">
      <c r="A84" s="3">
        <f t="shared" si="1"/>
        <v>8.0999999999999872</v>
      </c>
      <c r="B84" s="2">
        <v>2.2278086247960103E-2</v>
      </c>
      <c r="C84" s="2">
        <v>0.83489233830288201</v>
      </c>
      <c r="D84" s="2"/>
    </row>
    <row r="85" spans="1:4" x14ac:dyDescent="0.15">
      <c r="A85" s="3">
        <f t="shared" si="1"/>
        <v>8.1999999999999869</v>
      </c>
      <c r="B85" s="2">
        <v>2.2516069502571581E-2</v>
      </c>
      <c r="C85" s="2">
        <v>0.83141037780119453</v>
      </c>
      <c r="D85" s="2"/>
    </row>
    <row r="86" spans="1:4" x14ac:dyDescent="0.15">
      <c r="A86" s="3">
        <f t="shared" si="1"/>
        <v>8.2999999999999865</v>
      </c>
      <c r="B86" s="2">
        <v>2.275123016418772E-2</v>
      </c>
      <c r="C86" s="2">
        <v>0.82792292857303307</v>
      </c>
      <c r="D86" s="2"/>
    </row>
    <row r="87" spans="1:4" x14ac:dyDescent="0.15">
      <c r="A87" s="3">
        <f t="shared" si="1"/>
        <v>8.3999999999999861</v>
      </c>
      <c r="B87" s="2">
        <v>2.2983530379943447E-2</v>
      </c>
      <c r="C87" s="2">
        <v>0.82443114211212931</v>
      </c>
      <c r="D87" s="2"/>
    </row>
    <row r="88" spans="1:4" x14ac:dyDescent="0.15">
      <c r="A88" s="3">
        <f t="shared" si="1"/>
        <v>8.4999999999999858</v>
      </c>
      <c r="B88" s="2">
        <v>2.321293168347003E-2</v>
      </c>
      <c r="C88" s="2">
        <v>0.82093616991221541</v>
      </c>
      <c r="D88" s="2"/>
    </row>
    <row r="89" spans="1:4" x14ac:dyDescent="0.15">
      <c r="A89" s="3">
        <f t="shared" si="1"/>
        <v>8.5999999999999854</v>
      </c>
      <c r="B89" s="2">
        <v>2.3439394971768748E-2</v>
      </c>
      <c r="C89" s="2">
        <v>0.81743916346702283</v>
      </c>
      <c r="D89" s="2"/>
    </row>
    <row r="90" spans="1:4" x14ac:dyDescent="0.15">
      <c r="A90" s="3">
        <f t="shared" si="1"/>
        <v>8.6999999999999851</v>
      </c>
      <c r="B90" s="2">
        <v>2.3662880484281338E-2</v>
      </c>
      <c r="C90" s="2">
        <v>0.8139412742702834</v>
      </c>
      <c r="D90" s="2"/>
    </row>
    <row r="91" spans="1:4" x14ac:dyDescent="0.15">
      <c r="A91" s="3">
        <f t="shared" si="1"/>
        <v>8.7999999999999847</v>
      </c>
      <c r="B91" s="2">
        <v>2.388334778406356E-2</v>
      </c>
      <c r="C91" s="2">
        <v>0.81044365381572958</v>
      </c>
      <c r="D91" s="2"/>
    </row>
    <row r="92" spans="1:4" x14ac:dyDescent="0.15">
      <c r="A92" s="3">
        <f t="shared" si="1"/>
        <v>8.8999999999999844</v>
      </c>
      <c r="B92" s="2">
        <v>2.4100755740981587E-2</v>
      </c>
      <c r="C92" s="2">
        <v>0.8069474535970923</v>
      </c>
      <c r="D92" s="2"/>
    </row>
    <row r="93" spans="1:4" x14ac:dyDescent="0.15">
      <c r="A93" s="3">
        <f t="shared" si="1"/>
        <v>8.999999999999984</v>
      </c>
      <c r="B93" s="2">
        <v>2.4315062516862298E-2</v>
      </c>
      <c r="C93" s="2">
        <v>0.80345382510810404</v>
      </c>
      <c r="D93" s="2"/>
    </row>
    <row r="94" spans="1:4" x14ac:dyDescent="0.15">
      <c r="A94" s="3">
        <f t="shared" si="1"/>
        <v>9.0999999999999837</v>
      </c>
      <c r="B94" s="2">
        <v>2.4526225552542275E-2</v>
      </c>
      <c r="C94" s="2">
        <v>0.79996391984249593</v>
      </c>
      <c r="D94" s="2"/>
    </row>
    <row r="95" spans="1:4" x14ac:dyDescent="0.15">
      <c r="A95" s="3">
        <f t="shared" si="1"/>
        <v>9.1999999999999833</v>
      </c>
      <c r="B95" s="2">
        <v>2.4734201556767709E-2</v>
      </c>
      <c r="C95" s="2">
        <v>0.79647888929400046</v>
      </c>
      <c r="D95" s="2"/>
    </row>
    <row r="96" spans="1:4" x14ac:dyDescent="0.15">
      <c r="A96" s="3">
        <f t="shared" si="1"/>
        <v>9.2999999999999829</v>
      </c>
      <c r="B96" s="2">
        <v>2.4938946496909746E-2</v>
      </c>
      <c r="C96" s="2">
        <v>0.79299988495634921</v>
      </c>
      <c r="D96" s="2"/>
    </row>
    <row r="97" spans="1:4" x14ac:dyDescent="0.15">
      <c r="A97" s="3">
        <f t="shared" si="1"/>
        <v>9.3999999999999826</v>
      </c>
      <c r="B97" s="2">
        <v>2.5140415591465987E-2</v>
      </c>
      <c r="C97" s="2">
        <v>0.789528058323274</v>
      </c>
      <c r="D97" s="2"/>
    </row>
    <row r="98" spans="1:4" x14ac:dyDescent="0.15">
      <c r="A98" s="3">
        <f t="shared" si="1"/>
        <v>9.4999999999999822</v>
      </c>
      <c r="B98" s="2">
        <v>2.5338563304328449E-2</v>
      </c>
      <c r="C98" s="2">
        <v>0.7860645608885064</v>
      </c>
      <c r="D98" s="2"/>
    </row>
    <row r="99" spans="1:4" x14ac:dyDescent="0.15">
      <c r="A99" s="3">
        <f t="shared" si="1"/>
        <v>9.5999999999999819</v>
      </c>
      <c r="B99" s="2">
        <v>2.5533343340804607E-2</v>
      </c>
      <c r="C99" s="2">
        <v>0.7826105441457788</v>
      </c>
      <c r="D99" s="2"/>
    </row>
    <row r="100" spans="1:4" x14ac:dyDescent="0.15">
      <c r="A100" s="3">
        <f t="shared" si="1"/>
        <v>9.6999999999999815</v>
      </c>
      <c r="B100" s="2">
        <v>2.5724708645385525E-2</v>
      </c>
      <c r="C100" s="2">
        <v>0.77916715958882243</v>
      </c>
      <c r="D100" s="2"/>
    </row>
    <row r="101" spans="1:4" x14ac:dyDescent="0.15">
      <c r="A101" s="3">
        <f t="shared" si="1"/>
        <v>9.7999999999999812</v>
      </c>
      <c r="B101" s="2">
        <v>2.5912611401259947E-2</v>
      </c>
      <c r="C101" s="2">
        <v>0.77573555871136934</v>
      </c>
      <c r="D101" s="2"/>
    </row>
    <row r="102" spans="1:4" x14ac:dyDescent="0.15">
      <c r="A102" s="3">
        <f t="shared" si="1"/>
        <v>9.8999999999999808</v>
      </c>
      <c r="B102" s="2">
        <v>2.6097003031580242E-2</v>
      </c>
      <c r="C102" s="2">
        <v>0.77231689300715156</v>
      </c>
      <c r="D102" s="2"/>
    </row>
    <row r="103" spans="1:4" x14ac:dyDescent="0.15">
      <c r="A103" s="3">
        <f t="shared" si="1"/>
        <v>9.9999999999999805</v>
      </c>
      <c r="B103" s="2">
        <v>2.627783420249007E-2</v>
      </c>
      <c r="C103" s="2">
        <v>0.76891231396990067</v>
      </c>
      <c r="D103" s="2"/>
    </row>
    <row r="104" spans="1:4" x14ac:dyDescent="0.15">
      <c r="A104" s="3">
        <f t="shared" si="1"/>
        <v>10.09999999999998</v>
      </c>
      <c r="B104" s="2">
        <v>2.6455081082303752E-2</v>
      </c>
      <c r="C104" s="2">
        <v>0.76552277010026804</v>
      </c>
      <c r="D104" s="2"/>
    </row>
    <row r="105" spans="1:4" x14ac:dyDescent="0.15">
      <c r="A105" s="3">
        <f t="shared" si="1"/>
        <v>10.19999999999998</v>
      </c>
      <c r="B105" s="2">
        <v>2.6628822972672515E-2</v>
      </c>
      <c r="C105" s="2">
        <v>0.76214839792658362</v>
      </c>
      <c r="D105" s="2"/>
    </row>
    <row r="106" spans="1:4" x14ac:dyDescent="0.15">
      <c r="A106" s="3">
        <f t="shared" si="1"/>
        <v>10.299999999999979</v>
      </c>
      <c r="B106" s="2">
        <v>2.6799161648286506E-2</v>
      </c>
      <c r="C106" s="2">
        <v>0.7587891309840965</v>
      </c>
      <c r="D106" s="2"/>
    </row>
    <row r="107" spans="1:4" x14ac:dyDescent="0.15">
      <c r="A107" s="3">
        <f t="shared" si="1"/>
        <v>10.399999999999979</v>
      </c>
      <c r="B107" s="2">
        <v>2.6966195004339593E-2</v>
      </c>
      <c r="C107" s="2">
        <v>0.75544490280805676</v>
      </c>
      <c r="D107" s="2"/>
    </row>
    <row r="108" spans="1:4" x14ac:dyDescent="0.15">
      <c r="A108" s="3">
        <f t="shared" si="1"/>
        <v>10.499999999999979</v>
      </c>
      <c r="B108" s="2">
        <v>2.7130017241906317E-2</v>
      </c>
      <c r="C108" s="2">
        <v>0.75211564693371313</v>
      </c>
      <c r="D108" s="2"/>
    </row>
    <row r="109" spans="1:4" x14ac:dyDescent="0.15">
      <c r="A109" s="3">
        <f t="shared" si="1"/>
        <v>10.599999999999978</v>
      </c>
      <c r="B109" s="2">
        <v>2.7290719042832274E-2</v>
      </c>
      <c r="C109" s="2">
        <v>0.74880129689631536</v>
      </c>
      <c r="D109" s="2"/>
    </row>
    <row r="110" spans="1:4" x14ac:dyDescent="0.15">
      <c r="A110" s="3">
        <f t="shared" si="1"/>
        <v>10.699999999999978</v>
      </c>
      <c r="B110" s="2">
        <v>2.7448387734824827E-2</v>
      </c>
      <c r="C110" s="2">
        <v>0.74550178623111285</v>
      </c>
      <c r="D110" s="2"/>
    </row>
    <row r="111" spans="1:4" x14ac:dyDescent="0.15">
      <c r="A111" s="3">
        <f t="shared" si="1"/>
        <v>10.799999999999978</v>
      </c>
      <c r="B111" s="2">
        <v>2.7603107447378927E-2</v>
      </c>
      <c r="C111" s="2">
        <v>0.74221704847335457</v>
      </c>
      <c r="D111" s="2"/>
    </row>
    <row r="112" spans="1:4" x14ac:dyDescent="0.15">
      <c r="A112" s="3">
        <f t="shared" si="1"/>
        <v>10.899999999999977</v>
      </c>
      <c r="B112" s="2">
        <v>2.7754959259126483E-2</v>
      </c>
      <c r="C112" s="2">
        <v>0.73894701715829059</v>
      </c>
      <c r="D112" s="2"/>
    </row>
    <row r="113" spans="1:4" x14ac:dyDescent="0.15">
      <c r="A113" s="3">
        <f t="shared" si="1"/>
        <v>10.999999999999977</v>
      </c>
      <c r="B113" s="2">
        <v>2.7904021337155908E-2</v>
      </c>
      <c r="C113" s="2">
        <v>0.73569162582116987</v>
      </c>
      <c r="D113" s="2"/>
    </row>
    <row r="114" spans="1:4" x14ac:dyDescent="0.15">
      <c r="A114" s="3">
        <f t="shared" si="1"/>
        <v>11.099999999999977</v>
      </c>
      <c r="B114" s="2">
        <v>2.8050369068807229E-2</v>
      </c>
      <c r="C114" s="2">
        <v>0.73245080799724194</v>
      </c>
      <c r="D114" s="2"/>
    </row>
    <row r="115" spans="1:4" x14ac:dyDescent="0.15">
      <c r="A115" s="3">
        <f t="shared" si="1"/>
        <v>11.199999999999976</v>
      </c>
      <c r="B115" s="2">
        <v>2.8194075186413932E-2</v>
      </c>
      <c r="C115" s="2">
        <v>0.7292244972217562</v>
      </c>
      <c r="D115" s="2"/>
    </row>
    <row r="116" spans="1:4" x14ac:dyDescent="0.15">
      <c r="A116" s="3">
        <f t="shared" si="1"/>
        <v>11.299999999999976</v>
      </c>
      <c r="B116" s="2">
        <v>2.8335209885428116E-2</v>
      </c>
      <c r="C116" s="2">
        <v>0.72601262702996205</v>
      </c>
      <c r="D116" s="2"/>
    </row>
    <row r="117" spans="1:4" x14ac:dyDescent="0.15">
      <c r="A117" s="3">
        <f t="shared" si="1"/>
        <v>11.399999999999975</v>
      </c>
      <c r="B117" s="2">
        <v>2.8473840936335461E-2</v>
      </c>
      <c r="C117" s="2">
        <v>0.72281513095710848</v>
      </c>
      <c r="D117" s="2"/>
    </row>
    <row r="118" spans="1:4" x14ac:dyDescent="0.15">
      <c r="A118" s="3">
        <f t="shared" si="1"/>
        <v>11.499999999999975</v>
      </c>
      <c r="B118" s="2">
        <v>2.8610033790737763E-2</v>
      </c>
      <c r="C118" s="2">
        <v>0.71963194253844587</v>
      </c>
      <c r="D118" s="2"/>
    </row>
    <row r="119" spans="1:4" x14ac:dyDescent="0.15">
      <c r="A119" s="3">
        <f t="shared" si="1"/>
        <v>11.599999999999975</v>
      </c>
      <c r="B119" s="2">
        <v>2.8743851681955871E-2</v>
      </c>
      <c r="C119" s="2">
        <v>0.71646299530922297</v>
      </c>
      <c r="D119" s="2"/>
    </row>
    <row r="120" spans="1:4" x14ac:dyDescent="0.15">
      <c r="A120" s="3">
        <f t="shared" si="1"/>
        <v>11.699999999999974</v>
      </c>
      <c r="B120" s="2">
        <v>2.8875355720479799E-2</v>
      </c>
      <c r="C120" s="2">
        <v>0.71330822280468886</v>
      </c>
      <c r="D120" s="2"/>
    </row>
    <row r="121" spans="1:4" x14ac:dyDescent="0.15">
      <c r="A121" s="3">
        <f t="shared" si="1"/>
        <v>11.799999999999974</v>
      </c>
      <c r="B121" s="2">
        <v>2.9004604984572406E-2</v>
      </c>
      <c r="C121" s="2">
        <v>0.71016755856009384</v>
      </c>
      <c r="D121" s="2"/>
    </row>
    <row r="122" spans="1:4" x14ac:dyDescent="0.15">
      <c r="A122" s="3">
        <f t="shared" si="1"/>
        <v>11.899999999999974</v>
      </c>
      <c r="B122" s="2">
        <v>2.9131656606312149E-2</v>
      </c>
      <c r="C122" s="2">
        <v>0.70704093611068664</v>
      </c>
      <c r="D122" s="2"/>
    </row>
    <row r="123" spans="1:4" x14ac:dyDescent="0.15">
      <c r="A123" s="3">
        <f t="shared" si="1"/>
        <v>11.999999999999973</v>
      </c>
      <c r="B123" s="2">
        <v>2.9256565853339949E-2</v>
      </c>
      <c r="C123" s="2">
        <v>0.70392828899171689</v>
      </c>
      <c r="D123" s="2"/>
    </row>
    <row r="124" spans="1:4" x14ac:dyDescent="0.15">
      <c r="A124" s="3">
        <f t="shared" si="1"/>
        <v>12.099999999999973</v>
      </c>
      <c r="B124" s="2">
        <v>2.9379386206559808E-2</v>
      </c>
      <c r="C124" s="2">
        <v>0.70082955073843389</v>
      </c>
      <c r="D124" s="2"/>
    </row>
    <row r="125" spans="1:4" x14ac:dyDescent="0.15">
      <c r="A125" s="3">
        <f t="shared" si="1"/>
        <v>12.199999999999973</v>
      </c>
      <c r="B125" s="2">
        <v>2.9500169434024833E-2</v>
      </c>
      <c r="C125" s="2">
        <v>0.69774465488608672</v>
      </c>
      <c r="D125" s="2"/>
    </row>
    <row r="126" spans="1:4" x14ac:dyDescent="0.15">
      <c r="A126" s="3">
        <f t="shared" si="1"/>
        <v>12.299999999999972</v>
      </c>
      <c r="B126" s="2">
        <v>2.9618965661225752E-2</v>
      </c>
      <c r="C126" s="2">
        <v>0.69467353496992568</v>
      </c>
      <c r="D126" s="2"/>
    </row>
    <row r="127" spans="1:4" x14ac:dyDescent="0.15">
      <c r="A127" s="3">
        <f t="shared" si="1"/>
        <v>12.399999999999972</v>
      </c>
      <c r="B127" s="2">
        <v>2.9735823437985826E-2</v>
      </c>
      <c r="C127" s="2">
        <v>0.69161612452519938</v>
      </c>
      <c r="D127" s="2"/>
    </row>
    <row r="128" spans="1:4" x14ac:dyDescent="0.15">
      <c r="A128" s="3">
        <f t="shared" si="1"/>
        <v>12.499999999999972</v>
      </c>
      <c r="B128" s="2">
        <v>2.9850789802151032E-2</v>
      </c>
      <c r="C128" s="2">
        <v>0.68857235708715769</v>
      </c>
      <c r="D128" s="2"/>
    </row>
    <row r="129" spans="1:4" x14ac:dyDescent="0.15">
      <c r="A129" s="3">
        <f t="shared" si="1"/>
        <v>12.599999999999971</v>
      </c>
      <c r="B129" s="2">
        <v>2.9963910340254897E-2</v>
      </c>
      <c r="C129" s="2">
        <v>0.68554216619104935</v>
      </c>
      <c r="D129" s="2"/>
    </row>
    <row r="130" spans="1:4" x14ac:dyDescent="0.15">
      <c r="A130" s="3">
        <f t="shared" si="1"/>
        <v>12.699999999999971</v>
      </c>
      <c r="B130" s="2">
        <v>3.0075229245323649E-2</v>
      </c>
      <c r="C130" s="2">
        <v>0.68252548537212465</v>
      </c>
      <c r="D130" s="2"/>
    </row>
    <row r="131" spans="1:4" x14ac:dyDescent="0.15">
      <c r="A131" s="3">
        <f t="shared" si="1"/>
        <v>12.799999999999971</v>
      </c>
      <c r="B131" s="2">
        <v>3.0184789371979312E-2</v>
      </c>
      <c r="C131" s="2">
        <v>0.67952224816563256</v>
      </c>
      <c r="D131" s="2"/>
    </row>
    <row r="132" spans="1:4" x14ac:dyDescent="0.15">
      <c r="A132" s="3">
        <f t="shared" si="1"/>
        <v>12.89999999999997</v>
      </c>
      <c r="B132" s="2">
        <v>3.0292632288986366E-2</v>
      </c>
      <c r="C132" s="2">
        <v>0.67653238810682215</v>
      </c>
      <c r="D132" s="2"/>
    </row>
    <row r="133" spans="1:4" x14ac:dyDescent="0.15">
      <c r="A133" s="3">
        <f t="shared" ref="A133:A196" si="2">A132+0.1</f>
        <v>12.99999999999997</v>
      </c>
      <c r="B133" s="2">
        <v>3.0398798329380167E-2</v>
      </c>
      <c r="C133" s="2">
        <v>0.67355583873094371</v>
      </c>
      <c r="D133" s="2"/>
    </row>
    <row r="134" spans="1:4" x14ac:dyDescent="0.15">
      <c r="A134" s="3">
        <f t="shared" si="2"/>
        <v>13.099999999999969</v>
      </c>
      <c r="B134" s="2">
        <v>3.0503326638306901E-2</v>
      </c>
      <c r="C134" s="2">
        <v>0.67059253357324555</v>
      </c>
      <c r="D134" s="2"/>
    </row>
    <row r="135" spans="1:4" x14ac:dyDescent="0.15">
      <c r="A135" s="3">
        <f t="shared" si="2"/>
        <v>13.199999999999969</v>
      </c>
      <c r="B135" s="2">
        <v>3.0606255218695189E-2</v>
      </c>
      <c r="C135" s="2">
        <v>0.66764240616897796</v>
      </c>
      <c r="D135" s="2"/>
    </row>
    <row r="136" spans="1:4" x14ac:dyDescent="0.15">
      <c r="A136" s="3">
        <f t="shared" si="2"/>
        <v>13.299999999999969</v>
      </c>
      <c r="B136" s="2">
        <v>3.0707620974875172E-2</v>
      </c>
      <c r="C136" s="2">
        <v>0.66470539005339002</v>
      </c>
      <c r="D136" s="2"/>
    </row>
    <row r="137" spans="1:4" x14ac:dyDescent="0.15">
      <c r="A137" s="3">
        <f t="shared" si="2"/>
        <v>13.399999999999968</v>
      </c>
      <c r="B137" s="2">
        <v>3.0807459754251042E-2</v>
      </c>
      <c r="C137" s="2">
        <v>0.6617814187617308</v>
      </c>
      <c r="D137" s="2"/>
    </row>
    <row r="138" spans="1:4" x14ac:dyDescent="0.15">
      <c r="A138" s="3">
        <f t="shared" si="2"/>
        <v>13.499999999999968</v>
      </c>
      <c r="B138" s="2">
        <v>3.0905806387128629E-2</v>
      </c>
      <c r="C138" s="2">
        <v>0.65887042582925004</v>
      </c>
      <c r="D138" s="2"/>
    </row>
    <row r="139" spans="1:4" x14ac:dyDescent="0.15">
      <c r="A139" s="3">
        <f t="shared" si="2"/>
        <v>13.599999999999968</v>
      </c>
      <c r="B139" s="2">
        <v>3.1002694724793056E-2</v>
      </c>
      <c r="C139" s="2">
        <v>0.6559723447911977</v>
      </c>
      <c r="D139" s="2"/>
    </row>
    <row r="140" spans="1:4" x14ac:dyDescent="0.15">
      <c r="A140" s="3">
        <f t="shared" si="2"/>
        <v>13.699999999999967</v>
      </c>
      <c r="B140" s="2">
        <v>3.1098157675926101E-2</v>
      </c>
      <c r="C140" s="2">
        <v>0.6530871091828222</v>
      </c>
      <c r="D140" s="2"/>
    </row>
    <row r="141" spans="1:4" x14ac:dyDescent="0.15">
      <c r="A141" s="3">
        <f t="shared" si="2"/>
        <v>13.799999999999967</v>
      </c>
      <c r="B141" s="2">
        <v>3.1192227241446754E-2</v>
      </c>
      <c r="C141" s="2">
        <v>0.65021465253937338</v>
      </c>
      <c r="D141" s="2"/>
    </row>
    <row r="142" spans="1:4" x14ac:dyDescent="0.15">
      <c r="A142" s="3">
        <f t="shared" si="2"/>
        <v>13.899999999999967</v>
      </c>
      <c r="B142" s="2">
        <v>3.1284934547855664E-2</v>
      </c>
      <c r="C142" s="2">
        <v>0.64735490839610055</v>
      </c>
      <c r="D142" s="2"/>
    </row>
    <row r="143" spans="1:4" x14ac:dyDescent="0.15">
      <c r="A143" s="3">
        <f t="shared" si="2"/>
        <v>13.999999999999966</v>
      </c>
      <c r="B143" s="2">
        <v>3.1376309879157349E-2</v>
      </c>
      <c r="C143" s="2">
        <v>0.64450781028825332</v>
      </c>
      <c r="D143" s="2"/>
    </row>
    <row r="144" spans="1:4" x14ac:dyDescent="0.15">
      <c r="A144" s="3">
        <f t="shared" si="2"/>
        <v>14.099999999999966</v>
      </c>
      <c r="B144" s="2">
        <v>3.1466382707431538E-2</v>
      </c>
      <c r="C144" s="2">
        <v>0.64167329175108068</v>
      </c>
      <c r="D144" s="2"/>
    </row>
    <row r="145" spans="1:4" x14ac:dyDescent="0.15">
      <c r="A145" s="3">
        <f t="shared" si="2"/>
        <v>14.199999999999966</v>
      </c>
      <c r="B145" s="2">
        <v>3.1555181722119713E-2</v>
      </c>
      <c r="C145" s="2">
        <v>0.63885128631983257</v>
      </c>
      <c r="D145" s="2"/>
    </row>
    <row r="146" spans="1:4" x14ac:dyDescent="0.15">
      <c r="A146" s="3">
        <f t="shared" si="2"/>
        <v>14.299999999999965</v>
      </c>
      <c r="B146" s="2">
        <v>3.1642734858090549E-2</v>
      </c>
      <c r="C146" s="2">
        <v>0.63604172752975785</v>
      </c>
      <c r="D146" s="2"/>
    </row>
    <row r="147" spans="1:4" x14ac:dyDescent="0.15">
      <c r="A147" s="3">
        <f t="shared" si="2"/>
        <v>14.399999999999965</v>
      </c>
      <c r="B147" s="2">
        <v>3.1729069322542915E-2</v>
      </c>
      <c r="C147" s="2">
        <v>0.63324454891610649</v>
      </c>
      <c r="D147" s="2"/>
    </row>
    <row r="148" spans="1:4" x14ac:dyDescent="0.15">
      <c r="A148" s="3">
        <f t="shared" si="2"/>
        <v>14.499999999999964</v>
      </c>
      <c r="B148" s="2">
        <v>3.1814211620803369E-2</v>
      </c>
      <c r="C148" s="2">
        <v>0.63045968401412733</v>
      </c>
      <c r="D148" s="2"/>
    </row>
    <row r="149" spans="1:4" x14ac:dyDescent="0.15">
      <c r="A149" s="3">
        <f t="shared" si="2"/>
        <v>14.599999999999964</v>
      </c>
      <c r="B149" s="2">
        <v>3.1898187581070686E-2</v>
      </c>
      <c r="C149" s="2">
        <v>0.62768706635906957</v>
      </c>
      <c r="D149" s="2"/>
    </row>
    <row r="150" spans="1:4" x14ac:dyDescent="0.15">
      <c r="A150" s="3">
        <f t="shared" si="2"/>
        <v>14.699999999999964</v>
      </c>
      <c r="B150" s="2">
        <v>3.1981022378157711E-2</v>
      </c>
      <c r="C150" s="2">
        <v>0.62492662948618438</v>
      </c>
      <c r="D150" s="2"/>
    </row>
    <row r="151" spans="1:4" x14ac:dyDescent="0.15">
      <c r="A151" s="3">
        <f t="shared" si="2"/>
        <v>14.799999999999963</v>
      </c>
      <c r="B151" s="2">
        <v>3.2062740556279105E-2</v>
      </c>
      <c r="C151" s="2">
        <v>0.62217830693071874</v>
      </c>
      <c r="D151" s="2"/>
    </row>
    <row r="152" spans="1:4" x14ac:dyDescent="0.15">
      <c r="A152" s="3">
        <f t="shared" si="2"/>
        <v>14.899999999999963</v>
      </c>
      <c r="B152" s="2">
        <v>3.2143366050927547E-2</v>
      </c>
      <c r="C152" s="2">
        <v>0.61944203222792327</v>
      </c>
      <c r="D152" s="2"/>
    </row>
    <row r="153" spans="1:4" x14ac:dyDescent="0.15">
      <c r="A153" s="3">
        <f t="shared" si="2"/>
        <v>14.999999999999963</v>
      </c>
      <c r="B153" s="2">
        <v>3.2222922209883792E-2</v>
      </c>
      <c r="C153" s="2">
        <v>0.61671773891304738</v>
      </c>
      <c r="D153" s="2"/>
    </row>
    <row r="154" spans="1:4" x14ac:dyDescent="0.15">
      <c r="A154" s="3">
        <f t="shared" si="2"/>
        <v>15.099999999999962</v>
      </c>
      <c r="B154" s="2">
        <v>3.2301431813398868E-2</v>
      </c>
      <c r="C154" s="2">
        <v>0.61400536052134103</v>
      </c>
      <c r="D154" s="2"/>
    </row>
    <row r="155" spans="1:4" x14ac:dyDescent="0.15">
      <c r="A155" s="3">
        <f t="shared" si="2"/>
        <v>15.199999999999962</v>
      </c>
      <c r="B155" s="2">
        <v>3.2378917093587763E-2</v>
      </c>
      <c r="C155" s="2">
        <v>0.61130483058805229</v>
      </c>
      <c r="D155" s="2"/>
    </row>
    <row r="156" spans="1:4" x14ac:dyDescent="0.15">
      <c r="A156" s="3">
        <f t="shared" si="2"/>
        <v>15.299999999999962</v>
      </c>
      <c r="B156" s="2">
        <v>3.245539975306963E-2</v>
      </c>
      <c r="C156" s="2">
        <v>0.60861608264843159</v>
      </c>
      <c r="D156" s="2"/>
    </row>
    <row r="157" spans="1:4" x14ac:dyDescent="0.15">
      <c r="A157" s="3">
        <f t="shared" si="2"/>
        <v>15.399999999999961</v>
      </c>
      <c r="B157" s="2">
        <v>3.2530900982890354E-2</v>
      </c>
      <c r="C157" s="2">
        <v>0.60593905023772798</v>
      </c>
      <c r="D157" s="2"/>
    </row>
    <row r="158" spans="1:4" x14ac:dyDescent="0.15">
      <c r="A158" s="3">
        <f t="shared" si="2"/>
        <v>15.499999999999961</v>
      </c>
      <c r="B158" s="2">
        <v>3.2605441479758794E-2</v>
      </c>
      <c r="C158" s="2">
        <v>0.60327366689119022</v>
      </c>
      <c r="D158" s="2"/>
    </row>
    <row r="159" spans="1:4" x14ac:dyDescent="0.15">
      <c r="A159" s="3">
        <f t="shared" si="2"/>
        <v>15.599999999999961</v>
      </c>
      <c r="B159" s="2">
        <v>3.2679041462627796E-2</v>
      </c>
      <c r="C159" s="2">
        <v>0.60061986614406904</v>
      </c>
      <c r="D159" s="2"/>
    </row>
    <row r="160" spans="1:4" x14ac:dyDescent="0.15">
      <c r="A160" s="3">
        <f t="shared" si="2"/>
        <v>15.69999999999996</v>
      </c>
      <c r="B160" s="2">
        <v>3.2751720688650315E-2</v>
      </c>
      <c r="C160" s="2">
        <v>0.59797758153161296</v>
      </c>
      <c r="D160" s="2"/>
    </row>
    <row r="161" spans="1:4" x14ac:dyDescent="0.15">
      <c r="A161" s="3">
        <f t="shared" si="2"/>
        <v>15.79999999999996</v>
      </c>
      <c r="B161" s="2">
        <v>3.2823498468536806E-2</v>
      </c>
      <c r="C161" s="2">
        <v>0.5953467465890715</v>
      </c>
      <c r="D161" s="2"/>
    </row>
    <row r="162" spans="1:4" x14ac:dyDescent="0.15">
      <c r="A162" s="3">
        <f t="shared" si="2"/>
        <v>15.899999999999959</v>
      </c>
      <c r="B162" s="2">
        <v>3.2894393681341706E-2</v>
      </c>
      <c r="C162" s="2">
        <v>0.59272729485169418</v>
      </c>
      <c r="D162" s="2"/>
    </row>
    <row r="163" spans="1:4" x14ac:dyDescent="0.15">
      <c r="A163" s="3">
        <f t="shared" si="2"/>
        <v>15.999999999999959</v>
      </c>
      <c r="B163" s="2">
        <v>3.2964424788703497E-2</v>
      </c>
      <c r="C163" s="2">
        <v>0.59011915985473029</v>
      </c>
      <c r="D163" s="2"/>
    </row>
    <row r="164" spans="1:4" x14ac:dyDescent="0.15">
      <c r="A164" s="3">
        <f t="shared" si="2"/>
        <v>16.099999999999959</v>
      </c>
      <c r="B164" s="2">
        <v>3.3033609848562351E-2</v>
      </c>
      <c r="C164" s="2">
        <v>0.58752227513342925</v>
      </c>
      <c r="D164" s="2"/>
    </row>
    <row r="165" spans="1:4" x14ac:dyDescent="0.15">
      <c r="A165" s="3">
        <f t="shared" si="2"/>
        <v>16.19999999999996</v>
      </c>
      <c r="B165" s="2">
        <v>3.3101966528378046E-2</v>
      </c>
      <c r="C165" s="2">
        <v>0.58493657422304024</v>
      </c>
      <c r="D165" s="2"/>
    </row>
    <row r="166" spans="1:4" x14ac:dyDescent="0.15">
      <c r="A166" s="3">
        <f t="shared" si="2"/>
        <v>16.299999999999962</v>
      </c>
      <c r="B166" s="2">
        <v>3.3169512117869643E-2</v>
      </c>
      <c r="C166" s="2">
        <v>0.58236199065881389</v>
      </c>
      <c r="D166" s="2"/>
    </row>
    <row r="167" spans="1:4" x14ac:dyDescent="0.15">
      <c r="A167" s="3">
        <f t="shared" si="2"/>
        <v>16.399999999999963</v>
      </c>
      <c r="B167" s="2">
        <v>3.3236263541298126E-2</v>
      </c>
      <c r="C167" s="2">
        <v>0.57979845797599761</v>
      </c>
      <c r="D167" s="2"/>
    </row>
    <row r="168" spans="1:4" x14ac:dyDescent="0.15">
      <c r="A168" s="3">
        <f t="shared" si="2"/>
        <v>16.499999999999964</v>
      </c>
      <c r="B168" s="2">
        <v>3.3302237369309831E-2</v>
      </c>
      <c r="C168" s="2">
        <v>0.57724590970984269</v>
      </c>
      <c r="D168" s="2"/>
    </row>
    <row r="169" spans="1:4" x14ac:dyDescent="0.15">
      <c r="A169" s="3">
        <f t="shared" si="2"/>
        <v>16.599999999999966</v>
      </c>
      <c r="B169" s="2">
        <v>3.3367449830362023E-2</v>
      </c>
      <c r="C169" s="2">
        <v>0.57470427939559632</v>
      </c>
      <c r="D169" s="2"/>
    </row>
    <row r="170" spans="1:4" x14ac:dyDescent="0.15">
      <c r="A170" s="3">
        <f t="shared" si="2"/>
        <v>16.699999999999967</v>
      </c>
      <c r="B170" s="2">
        <v>3.34319168217449E-2</v>
      </c>
      <c r="C170" s="2">
        <v>0.57217350056851091</v>
      </c>
      <c r="D170" s="2"/>
    </row>
    <row r="171" spans="1:4" x14ac:dyDescent="0.15">
      <c r="A171" s="3">
        <f t="shared" si="2"/>
        <v>16.799999999999969</v>
      </c>
      <c r="B171" s="2">
        <v>3.3495653920220914E-2</v>
      </c>
      <c r="C171" s="2">
        <v>0.56965350676383353</v>
      </c>
      <c r="D171" s="2"/>
    </row>
    <row r="172" spans="1:4" x14ac:dyDescent="0.15">
      <c r="A172" s="3">
        <f t="shared" si="2"/>
        <v>16.89999999999997</v>
      </c>
      <c r="B172" s="2">
        <v>3.3558676392293249E-2</v>
      </c>
      <c r="C172" s="2">
        <v>0.56714423151681437</v>
      </c>
      <c r="D172" s="2"/>
    </row>
    <row r="173" spans="1:4" x14ac:dyDescent="0.15">
      <c r="A173" s="3">
        <f t="shared" si="2"/>
        <v>16.999999999999972</v>
      </c>
      <c r="B173" s="2">
        <v>3.3620999204122336E-2</v>
      </c>
      <c r="C173" s="2">
        <v>0.56464560836270261</v>
      </c>
      <c r="D173" s="2"/>
    </row>
    <row r="174" spans="1:4" x14ac:dyDescent="0.15">
      <c r="A174" s="3">
        <f t="shared" si="2"/>
        <v>17.099999999999973</v>
      </c>
      <c r="B174" s="2">
        <v>3.3682637031102969E-2</v>
      </c>
      <c r="C174" s="2">
        <v>0.56215757083674722</v>
      </c>
      <c r="D174" s="2"/>
    </row>
    <row r="175" spans="1:4" x14ac:dyDescent="0.15">
      <c r="A175" s="3">
        <f t="shared" si="2"/>
        <v>17.199999999999974</v>
      </c>
      <c r="B175" s="2">
        <v>3.3743604267116457E-2</v>
      </c>
      <c r="C175" s="2">
        <v>0.55968005247419872</v>
      </c>
      <c r="D175" s="2"/>
    </row>
    <row r="176" spans="1:4" x14ac:dyDescent="0.15">
      <c r="A176" s="3">
        <f t="shared" si="2"/>
        <v>17.299999999999976</v>
      </c>
      <c r="B176" s="2">
        <v>3.380391503347184E-2</v>
      </c>
      <c r="C176" s="2">
        <v>0.55721298681030607</v>
      </c>
      <c r="D176" s="2"/>
    </row>
    <row r="177" spans="1:4" x14ac:dyDescent="0.15">
      <c r="A177" s="3">
        <f t="shared" si="2"/>
        <v>17.399999999999977</v>
      </c>
      <c r="B177" s="2">
        <v>3.3863583187547695E-2</v>
      </c>
      <c r="C177" s="2">
        <v>0.554756307380318</v>
      </c>
      <c r="D177" s="2"/>
    </row>
    <row r="178" spans="1:4" x14ac:dyDescent="0.15">
      <c r="A178" s="3">
        <f t="shared" si="2"/>
        <v>17.499999999999979</v>
      </c>
      <c r="B178" s="2">
        <v>3.3922622331147144E-2</v>
      </c>
      <c r="C178" s="2">
        <v>0.55230994771948561</v>
      </c>
      <c r="D178" s="2"/>
    </row>
    <row r="179" spans="1:4" x14ac:dyDescent="0.15">
      <c r="A179" s="3">
        <f t="shared" si="2"/>
        <v>17.59999999999998</v>
      </c>
      <c r="B179" s="2">
        <v>3.3981045818578574E-2</v>
      </c>
      <c r="C179" s="2">
        <v>0.54987384136305639</v>
      </c>
      <c r="D179" s="2"/>
    </row>
    <row r="180" spans="1:4" x14ac:dyDescent="0.15">
      <c r="A180" s="3">
        <f t="shared" si="2"/>
        <v>17.699999999999982</v>
      </c>
      <c r="B180" s="2">
        <v>3.4038866764471078E-2</v>
      </c>
      <c r="C180" s="2">
        <v>0.54744792184628011</v>
      </c>
      <c r="D180" s="2"/>
    </row>
    <row r="181" spans="1:4" x14ac:dyDescent="0.15">
      <c r="A181" s="3">
        <f t="shared" si="2"/>
        <v>17.799999999999983</v>
      </c>
      <c r="B181" s="2">
        <v>3.4096098051336982E-2</v>
      </c>
      <c r="C181" s="2">
        <v>0.54503212270440771</v>
      </c>
      <c r="D181" s="2"/>
    </row>
    <row r="182" spans="1:4" x14ac:dyDescent="0.15">
      <c r="A182" s="3">
        <f t="shared" si="2"/>
        <v>17.899999999999984</v>
      </c>
      <c r="B182" s="2">
        <v>3.4152752336891551E-2</v>
      </c>
      <c r="C182" s="2">
        <v>0.54262637747268638</v>
      </c>
      <c r="D182" s="2"/>
    </row>
    <row r="183" spans="1:4" x14ac:dyDescent="0.15">
      <c r="A183" s="3">
        <f t="shared" si="2"/>
        <v>17.999999999999986</v>
      </c>
      <c r="B183" s="2">
        <v>3.4208842061137383E-2</v>
      </c>
      <c r="C183" s="2">
        <v>0.5402306196863671</v>
      </c>
      <c r="D183" s="2"/>
    </row>
    <row r="184" spans="1:4" x14ac:dyDescent="0.15">
      <c r="A184" s="3">
        <f t="shared" si="2"/>
        <v>18.099999999999987</v>
      </c>
      <c r="B184" s="2">
        <v>3.426437945322576E-2</v>
      </c>
      <c r="C184" s="2">
        <v>0.53784478288069937</v>
      </c>
      <c r="D184" s="2"/>
    </row>
    <row r="185" spans="1:4" x14ac:dyDescent="0.15">
      <c r="A185" s="3">
        <f t="shared" si="2"/>
        <v>18.199999999999989</v>
      </c>
      <c r="B185" s="2">
        <v>3.4319376538101701E-2</v>
      </c>
      <c r="C185" s="2">
        <v>0.53546880059093127</v>
      </c>
      <c r="D185" s="2"/>
    </row>
    <row r="186" spans="1:4" x14ac:dyDescent="0.15">
      <c r="A186" s="3">
        <f t="shared" si="2"/>
        <v>18.29999999999999</v>
      </c>
      <c r="B186" s="2">
        <v>3.4373845142941416E-2</v>
      </c>
      <c r="C186" s="2">
        <v>0.53310260635231266</v>
      </c>
      <c r="D186" s="2"/>
    </row>
    <row r="187" spans="1:4" x14ac:dyDescent="0.15">
      <c r="A187" s="3">
        <f t="shared" si="2"/>
        <v>18.399999999999991</v>
      </c>
      <c r="B187" s="2">
        <v>3.4427796903391136E-2</v>
      </c>
      <c r="C187" s="2">
        <v>0.53074613370009327</v>
      </c>
      <c r="D187" s="2"/>
    </row>
    <row r="188" spans="1:4" x14ac:dyDescent="0.15">
      <c r="A188" s="3">
        <f t="shared" si="2"/>
        <v>18.499999999999993</v>
      </c>
      <c r="B188" s="2">
        <v>3.4481243269614312E-2</v>
      </c>
      <c r="C188" s="2">
        <v>0.52839931616952296</v>
      </c>
      <c r="D188" s="2"/>
    </row>
    <row r="189" spans="1:4" x14ac:dyDescent="0.15">
      <c r="A189" s="3">
        <f t="shared" si="2"/>
        <v>18.599999999999994</v>
      </c>
      <c r="B189" s="2">
        <v>3.4534195512154982E-2</v>
      </c>
      <c r="C189" s="2">
        <v>0.52606208729585024</v>
      </c>
      <c r="D189" s="2"/>
    </row>
    <row r="190" spans="1:4" x14ac:dyDescent="0.15">
      <c r="A190" s="3">
        <f t="shared" si="2"/>
        <v>18.699999999999996</v>
      </c>
      <c r="B190" s="2">
        <v>3.4586664727623957E-2</v>
      </c>
      <c r="C190" s="2">
        <v>0.52373438061432431</v>
      </c>
      <c r="D190" s="2"/>
    </row>
    <row r="191" spans="1:4" x14ac:dyDescent="0.15">
      <c r="A191" s="3">
        <f t="shared" si="2"/>
        <v>18.799999999999997</v>
      </c>
      <c r="B191" s="2">
        <v>3.4638661844214907E-2</v>
      </c>
      <c r="C191" s="2">
        <v>0.52141612966019646</v>
      </c>
      <c r="D191" s="2"/>
    </row>
    <row r="192" spans="1:4" x14ac:dyDescent="0.15">
      <c r="A192" s="3">
        <f t="shared" si="2"/>
        <v>18.899999999999999</v>
      </c>
      <c r="B192" s="2">
        <v>3.4690197627057835E-2</v>
      </c>
      <c r="C192" s="2">
        <v>0.51910726796871298</v>
      </c>
      <c r="D192" s="2"/>
    </row>
    <row r="193" spans="1:4" x14ac:dyDescent="0.15">
      <c r="A193" s="3">
        <f t="shared" si="2"/>
        <v>19</v>
      </c>
      <c r="B193" s="2">
        <v>3.4741282683413317E-2</v>
      </c>
      <c r="C193" s="2">
        <v>0.5168077290751274</v>
      </c>
      <c r="D193" s="2"/>
    </row>
    <row r="194" spans="1:4" x14ac:dyDescent="0.15">
      <c r="A194" s="3">
        <f t="shared" si="2"/>
        <v>19.100000000000001</v>
      </c>
      <c r="B194" s="2">
        <v>3.479192746771826E-2</v>
      </c>
      <c r="C194" s="2">
        <v>0.51451744651468478</v>
      </c>
      <c r="D194" s="2"/>
    </row>
    <row r="195" spans="1:4" x14ac:dyDescent="0.15">
      <c r="A195" s="3">
        <f t="shared" si="2"/>
        <v>19.200000000000003</v>
      </c>
      <c r="B195" s="2">
        <v>3.4842142286483031E-2</v>
      </c>
      <c r="C195" s="2">
        <v>0.51223635382263744</v>
      </c>
      <c r="D195" s="2"/>
    </row>
    <row r="196" spans="1:4" x14ac:dyDescent="0.15">
      <c r="A196" s="3">
        <f t="shared" si="2"/>
        <v>19.300000000000004</v>
      </c>
      <c r="B196" s="2">
        <v>3.4891937303051228E-2</v>
      </c>
      <c r="C196" s="2">
        <v>0.50996438453423465</v>
      </c>
      <c r="D196" s="2"/>
    </row>
    <row r="197" spans="1:4" x14ac:dyDescent="0.15">
      <c r="A197" s="3">
        <f t="shared" ref="A197:A226" si="3">A196+0.1</f>
        <v>19.400000000000006</v>
      </c>
      <c r="B197" s="2">
        <v>3.4941322542223568E-2</v>
      </c>
      <c r="C197" s="2">
        <v>0.50770147218472428</v>
      </c>
      <c r="D197" s="2"/>
    </row>
    <row r="198" spans="1:4" x14ac:dyDescent="0.15">
      <c r="A198" s="3">
        <f t="shared" si="3"/>
        <v>19.500000000000007</v>
      </c>
      <c r="B198" s="2">
        <v>3.4990307894751972E-2</v>
      </c>
      <c r="C198" s="2">
        <v>0.50544755030935717</v>
      </c>
      <c r="D198" s="2"/>
    </row>
    <row r="199" spans="1:4" x14ac:dyDescent="0.15">
      <c r="A199" s="3">
        <f t="shared" si="3"/>
        <v>19.600000000000009</v>
      </c>
      <c r="B199" s="2">
        <v>3.5038903121710124E-2</v>
      </c>
      <c r="C199" s="2">
        <v>0.50320255244338052</v>
      </c>
      <c r="D199" s="2"/>
    </row>
    <row r="200" spans="1:4" x14ac:dyDescent="0.15">
      <c r="A200" s="3">
        <f t="shared" si="3"/>
        <v>19.70000000000001</v>
      </c>
      <c r="B200" s="2">
        <v>3.5087117858742529E-2</v>
      </c>
      <c r="C200" s="2">
        <v>0.50096641212204618</v>
      </c>
      <c r="D200" s="2"/>
    </row>
    <row r="201" spans="1:4" x14ac:dyDescent="0.15">
      <c r="A201" s="3">
        <f t="shared" si="3"/>
        <v>19.800000000000011</v>
      </c>
      <c r="B201" s="2">
        <v>3.5134961620199898E-2</v>
      </c>
      <c r="C201" s="2">
        <v>0.49873906288060221</v>
      </c>
      <c r="D201" s="2"/>
    </row>
    <row r="202" spans="1:4" x14ac:dyDescent="0.15">
      <c r="A202" s="3">
        <f t="shared" si="3"/>
        <v>19.900000000000013</v>
      </c>
      <c r="B202" s="2">
        <v>3.5182443803161968E-2</v>
      </c>
      <c r="C202" s="2">
        <v>0.49652043825429948</v>
      </c>
      <c r="D202" s="2"/>
    </row>
    <row r="203" spans="1:4" x14ac:dyDescent="0.15">
      <c r="A203" s="3">
        <f t="shared" si="3"/>
        <v>20.000000000000014</v>
      </c>
      <c r="B203" s="2">
        <v>3.5229573691354807E-2</v>
      </c>
      <c r="C203" s="2">
        <v>0.49431047177838439</v>
      </c>
      <c r="D203" s="2"/>
    </row>
    <row r="204" spans="1:4" x14ac:dyDescent="0.15">
      <c r="A204" s="3">
        <f t="shared" si="3"/>
        <v>20.100000000000016</v>
      </c>
      <c r="B204" s="2">
        <v>3.5276360458963416E-2</v>
      </c>
      <c r="C204" s="2">
        <v>0.49210909698811051</v>
      </c>
      <c r="D204" s="2"/>
    </row>
    <row r="205" spans="1:4" x14ac:dyDescent="0.15">
      <c r="A205" s="3">
        <f t="shared" si="3"/>
        <v>20.200000000000017</v>
      </c>
      <c r="B205" s="2">
        <v>3.5322813174348121E-2</v>
      </c>
      <c r="C205" s="2">
        <v>0.48991624741872325</v>
      </c>
      <c r="D205" s="2"/>
    </row>
    <row r="206" spans="1:4" x14ac:dyDescent="0.15">
      <c r="A206" s="3">
        <f t="shared" si="3"/>
        <v>20.300000000000018</v>
      </c>
      <c r="B206" s="2">
        <v>3.5368940803662777E-2</v>
      </c>
      <c r="C206" s="2">
        <v>0.48773185660547352</v>
      </c>
      <c r="D206" s="2"/>
    </row>
    <row r="207" spans="1:4" x14ac:dyDescent="0.15">
      <c r="A207" s="3">
        <f t="shared" si="3"/>
        <v>20.40000000000002</v>
      </c>
      <c r="B207" s="2">
        <v>3.5414752214383158E-2</v>
      </c>
      <c r="C207" s="2">
        <v>0.48555585808361384</v>
      </c>
      <c r="D207" s="2"/>
    </row>
    <row r="208" spans="1:4" x14ac:dyDescent="0.15">
      <c r="A208" s="3">
        <f t="shared" si="3"/>
        <v>20.500000000000021</v>
      </c>
      <c r="B208" s="2">
        <v>3.546025617874779E-2</v>
      </c>
      <c r="C208" s="2">
        <v>0.4833881853883889</v>
      </c>
      <c r="D208" s="2"/>
    </row>
    <row r="209" spans="1:4" x14ac:dyDescent="0.15">
      <c r="A209" s="3">
        <f t="shared" si="3"/>
        <v>20.600000000000023</v>
      </c>
      <c r="B209" s="2">
        <v>3.5505461377111601E-2</v>
      </c>
      <c r="C209" s="2">
        <v>0.4812287720550496</v>
      </c>
      <c r="D209" s="2"/>
    </row>
    <row r="210" spans="1:4" x14ac:dyDescent="0.15">
      <c r="A210" s="3">
        <f t="shared" si="3"/>
        <v>20.700000000000024</v>
      </c>
      <c r="B210" s="2">
        <v>3.5550376401220052E-2</v>
      </c>
      <c r="C210" s="2">
        <v>0.47907755161884663</v>
      </c>
      <c r="D210" s="2"/>
    </row>
    <row r="211" spans="1:4" x14ac:dyDescent="0.15">
      <c r="A211" s="3">
        <f t="shared" si="3"/>
        <v>20.800000000000026</v>
      </c>
      <c r="B211" s="2">
        <v>3.5595009757404435E-2</v>
      </c>
      <c r="C211" s="2">
        <v>0.47693445761502828</v>
      </c>
      <c r="D211" s="2"/>
    </row>
    <row r="212" spans="1:4" x14ac:dyDescent="0.15">
      <c r="A212" s="3">
        <f t="shared" si="3"/>
        <v>20.900000000000027</v>
      </c>
      <c r="B212" s="2">
        <v>3.5639369869701079E-2</v>
      </c>
      <c r="C212" s="2">
        <v>0.47479942357884447</v>
      </c>
      <c r="D212" s="2"/>
    </row>
    <row r="213" spans="1:4" x14ac:dyDescent="0.15">
      <c r="A213" s="3">
        <f t="shared" si="3"/>
        <v>21.000000000000028</v>
      </c>
      <c r="B213" s="2">
        <v>3.568346508289881E-2</v>
      </c>
      <c r="C213" s="2">
        <v>0.47267238304554249</v>
      </c>
      <c r="D213" s="2"/>
    </row>
    <row r="214" spans="1:4" x14ac:dyDescent="0.15">
      <c r="A214" s="3">
        <f t="shared" si="3"/>
        <v>21.10000000000003</v>
      </c>
      <c r="B214" s="2">
        <v>3.5727303665515554E-2</v>
      </c>
      <c r="C214" s="2">
        <v>0.47055326955037485</v>
      </c>
      <c r="D214" s="2"/>
    </row>
    <row r="215" spans="1:4" x14ac:dyDescent="0.15">
      <c r="A215" s="3">
        <f t="shared" si="3"/>
        <v>21.200000000000031</v>
      </c>
      <c r="B215" s="2">
        <v>3.5770893812709439E-2</v>
      </c>
      <c r="C215" s="2">
        <v>0.46844201662859081</v>
      </c>
      <c r="D215" s="2"/>
    </row>
    <row r="216" spans="1:4" x14ac:dyDescent="0.15">
      <c r="A216" s="3">
        <f t="shared" si="3"/>
        <v>21.300000000000033</v>
      </c>
      <c r="B216" s="2">
        <v>3.5814243649124791E-2</v>
      </c>
      <c r="C216" s="2">
        <v>0.46633855781543571</v>
      </c>
      <c r="D216" s="2"/>
    </row>
    <row r="217" spans="1:4" x14ac:dyDescent="0.15">
      <c r="A217" s="3">
        <f t="shared" si="3"/>
        <v>21.400000000000034</v>
      </c>
      <c r="B217" s="2">
        <v>3.5857361231674691E-2</v>
      </c>
      <c r="C217" s="2">
        <v>0.46424282664616573</v>
      </c>
      <c r="D217" s="2"/>
    </row>
    <row r="218" spans="1:4" x14ac:dyDescent="0.15">
      <c r="A218" s="3">
        <f t="shared" si="3"/>
        <v>21.500000000000036</v>
      </c>
      <c r="B218" s="2">
        <v>3.5900254552267974E-2</v>
      </c>
      <c r="C218" s="2">
        <v>0.46215475665602385</v>
      </c>
      <c r="D218" s="2"/>
    </row>
    <row r="219" spans="1:4" x14ac:dyDescent="0.15">
      <c r="A219" s="3">
        <f t="shared" si="3"/>
        <v>21.600000000000037</v>
      </c>
      <c r="B219" s="2">
        <v>3.5942931540474461E-2</v>
      </c>
      <c r="C219" s="2">
        <v>0.46007428138026341</v>
      </c>
      <c r="D219" s="2"/>
    </row>
    <row r="220" spans="1:4" x14ac:dyDescent="0.15">
      <c r="A220" s="3">
        <f t="shared" si="3"/>
        <v>21.700000000000038</v>
      </c>
      <c r="B220" s="2">
        <v>3.5985400066139608E-2</v>
      </c>
      <c r="C220" s="2">
        <v>0.45800133435413004</v>
      </c>
      <c r="D220" s="2"/>
    </row>
    <row r="221" spans="1:4" x14ac:dyDescent="0.15">
      <c r="A221" s="3">
        <f t="shared" si="3"/>
        <v>21.80000000000004</v>
      </c>
      <c r="B221" s="2">
        <v>3.6027667941943307E-2</v>
      </c>
      <c r="C221" s="2">
        <v>0.45593584911287721</v>
      </c>
      <c r="D221" s="2"/>
    </row>
    <row r="222" spans="1:4" x14ac:dyDescent="0.15">
      <c r="A222" s="3">
        <f t="shared" si="3"/>
        <v>21.900000000000041</v>
      </c>
      <c r="B222" s="2">
        <v>3.6069742925911231E-2</v>
      </c>
      <c r="C222" s="2">
        <v>0.45387775919175211</v>
      </c>
      <c r="D222" s="2"/>
    </row>
    <row r="223" spans="1:4" x14ac:dyDescent="0.15">
      <c r="A223" s="3">
        <f t="shared" si="3"/>
        <v>22.000000000000043</v>
      </c>
      <c r="B223" s="2">
        <v>3.6111632723875846E-2</v>
      </c>
      <c r="C223" s="2">
        <v>0.45182699812600396</v>
      </c>
      <c r="D223" s="2"/>
    </row>
    <row r="224" spans="1:4" x14ac:dyDescent="0.15">
      <c r="A224" s="3">
        <f t="shared" si="3"/>
        <v>22.100000000000044</v>
      </c>
      <c r="B224" s="2">
        <v>3.6153344991891948E-2</v>
      </c>
      <c r="C224" s="2">
        <v>0.44978349945088347</v>
      </c>
      <c r="D224" s="2"/>
    </row>
    <row r="225" spans="1:4" x14ac:dyDescent="0.15">
      <c r="A225" s="3">
        <f t="shared" si="3"/>
        <v>22.200000000000045</v>
      </c>
      <c r="B225" s="2">
        <v>3.6194887338608463E-2</v>
      </c>
      <c r="C225" s="2">
        <v>0.44774719670163893</v>
      </c>
      <c r="D225" s="2"/>
    </row>
    <row r="226" spans="1:4" x14ac:dyDescent="0.15">
      <c r="A226" s="3">
        <f t="shared" si="3"/>
        <v>22.300000000000047</v>
      </c>
      <c r="B226" s="2">
        <v>3.6236267327596897E-2</v>
      </c>
      <c r="C226" s="2">
        <v>0.4457180234135219</v>
      </c>
      <c r="D226" s="2"/>
    </row>
    <row r="227" spans="1:4" x14ac:dyDescent="0.15">
      <c r="A227" s="3">
        <f>A226+0.1</f>
        <v>22.400000000000048</v>
      </c>
      <c r="B227" s="2">
        <v>3.6277492479640634E-2</v>
      </c>
      <c r="C227" s="2">
        <v>0.44369591312178069</v>
      </c>
      <c r="D227" s="2"/>
    </row>
    <row r="228" spans="1:4" x14ac:dyDescent="0.15">
      <c r="A228" s="3">
        <f t="shared" ref="A228:A237" si="4">A227+0.1</f>
        <v>22.50000000000005</v>
      </c>
      <c r="B228" s="2">
        <v>3.631857027498496E-2</v>
      </c>
      <c r="C228" s="2">
        <v>0.44168079936166077</v>
      </c>
      <c r="D228" s="2"/>
    </row>
    <row r="229" spans="1:4" x14ac:dyDescent="0.15">
      <c r="A229" s="3">
        <f t="shared" si="4"/>
        <v>22.600000000000051</v>
      </c>
      <c r="B229" s="2">
        <v>3.6359508155549114E-2</v>
      </c>
      <c r="C229" s="2">
        <v>0.43967261566841653</v>
      </c>
      <c r="D229" s="2"/>
    </row>
    <row r="230" spans="1:4" x14ac:dyDescent="0.15">
      <c r="A230" s="3">
        <f t="shared" si="4"/>
        <v>22.700000000000053</v>
      </c>
      <c r="B230" s="2">
        <v>3.64003135271058E-2</v>
      </c>
      <c r="C230" s="2">
        <v>0.43767129557729795</v>
      </c>
      <c r="D230" s="2"/>
    </row>
    <row r="231" spans="1:4" x14ac:dyDescent="0.15">
      <c r="A231" s="3">
        <f t="shared" si="4"/>
        <v>22.800000000000054</v>
      </c>
      <c r="B231" s="2">
        <v>3.6440993761426163E-2</v>
      </c>
      <c r="C231" s="2">
        <v>0.4356767726235487</v>
      </c>
      <c r="D231" s="2"/>
    </row>
    <row r="232" spans="1:4" x14ac:dyDescent="0.15">
      <c r="A232" s="3">
        <f t="shared" si="4"/>
        <v>22.900000000000055</v>
      </c>
      <c r="B232" s="2">
        <v>3.648155619839092E-2</v>
      </c>
      <c r="C232" s="2">
        <v>0.43368898034242498</v>
      </c>
      <c r="D232" s="2"/>
    </row>
    <row r="233" spans="1:4" x14ac:dyDescent="0.15">
      <c r="A233" s="3">
        <f t="shared" si="4"/>
        <v>23.000000000000057</v>
      </c>
      <c r="B233" s="2">
        <v>3.6522008148075789E-2</v>
      </c>
      <c r="C233" s="2">
        <v>0.43170785226917052</v>
      </c>
      <c r="D233" s="2"/>
    </row>
    <row r="234" spans="1:4" x14ac:dyDescent="0.15">
      <c r="A234" s="3">
        <f t="shared" si="4"/>
        <v>23.100000000000058</v>
      </c>
      <c r="B234" s="2">
        <v>3.6562356892803495E-2</v>
      </c>
      <c r="C234" s="2">
        <v>0.42973332193904057</v>
      </c>
      <c r="D234" s="2"/>
    </row>
    <row r="235" spans="1:4" x14ac:dyDescent="0.15">
      <c r="A235" s="3">
        <f t="shared" si="4"/>
        <v>23.20000000000006</v>
      </c>
      <c r="B235" s="2">
        <v>3.6602609689173567E-2</v>
      </c>
      <c r="C235" s="2">
        <v>0.42776532288727714</v>
      </c>
      <c r="D235" s="2"/>
    </row>
    <row r="236" spans="1:4" x14ac:dyDescent="0.15">
      <c r="A236" s="3">
        <f t="shared" si="4"/>
        <v>23.300000000000061</v>
      </c>
      <c r="B236" s="2">
        <v>3.6642773770061692E-2</v>
      </c>
      <c r="C236" s="2">
        <v>0.4258037886491346</v>
      </c>
      <c r="D236" s="2"/>
    </row>
    <row r="237" spans="1:4" x14ac:dyDescent="0.15">
      <c r="A237" s="3">
        <f t="shared" si="4"/>
        <v>23.400000000000063</v>
      </c>
      <c r="B237" s="2">
        <v>3.6682856346599325E-2</v>
      </c>
      <c r="C237" s="2">
        <v>0.42384865275986205</v>
      </c>
      <c r="D237" s="2"/>
    </row>
    <row r="238" spans="1:4" x14ac:dyDescent="0.15">
      <c r="A238" s="3">
        <f>A237+0.1</f>
        <v>23.500000000000064</v>
      </c>
      <c r="B238" s="2">
        <v>3.6722864610128601E-2</v>
      </c>
      <c r="C238" s="2">
        <v>0.42189984875470754</v>
      </c>
      <c r="D238" s="2"/>
    </row>
    <row r="239" spans="1:4" x14ac:dyDescent="0.15">
      <c r="A239" s="3">
        <f t="shared" ref="A239:A247" si="5">A238+0.1</f>
        <v>23.600000000000065</v>
      </c>
      <c r="B239" s="2">
        <v>3.6762805734136213E-2</v>
      </c>
      <c r="C239" s="2">
        <v>0.41995731016892113</v>
      </c>
      <c r="D239" s="2"/>
    </row>
    <row r="240" spans="1:4" x14ac:dyDescent="0.15">
      <c r="A240" s="3">
        <f t="shared" si="5"/>
        <v>23.700000000000067</v>
      </c>
      <c r="B240" s="2">
        <v>3.6802686876168077E-2</v>
      </c>
      <c r="C240" s="2">
        <v>0.41802097053775267</v>
      </c>
      <c r="D240" s="2"/>
    </row>
    <row r="241" spans="1:4" x14ac:dyDescent="0.15">
      <c r="A241" s="3">
        <f t="shared" si="5"/>
        <v>23.800000000000068</v>
      </c>
      <c r="B241" s="2">
        <v>3.6842515179725775E-2</v>
      </c>
      <c r="C241" s="2">
        <v>0.41609076339644879</v>
      </c>
      <c r="D241" s="2"/>
    </row>
    <row r="242" spans="1:4" x14ac:dyDescent="0.15">
      <c r="A242" s="3">
        <f t="shared" si="5"/>
        <v>23.90000000000007</v>
      </c>
      <c r="B242" s="2">
        <v>3.6882297776144497E-2</v>
      </c>
      <c r="C242" s="2">
        <v>0.41416662228026457</v>
      </c>
      <c r="D242" s="2"/>
    </row>
    <row r="243" spans="1:4" x14ac:dyDescent="0.15">
      <c r="A243" s="3">
        <f t="shared" si="5"/>
        <v>24.000000000000071</v>
      </c>
      <c r="B243" s="2">
        <v>3.6922041786458297E-2</v>
      </c>
      <c r="C243" s="2">
        <v>0.41224848072444631</v>
      </c>
      <c r="D243" s="2"/>
    </row>
    <row r="244" spans="1:4" x14ac:dyDescent="0.15">
      <c r="A244" s="3">
        <f t="shared" si="5"/>
        <v>24.100000000000072</v>
      </c>
      <c r="B244" s="2">
        <v>3.6961754323248323E-2</v>
      </c>
      <c r="C244" s="2">
        <v>0.41033627226424063</v>
      </c>
      <c r="D244" s="2"/>
    </row>
    <row r="245" spans="1:4" x14ac:dyDescent="0.15">
      <c r="A245" s="3">
        <f t="shared" si="5"/>
        <v>24.200000000000074</v>
      </c>
      <c r="B245" s="2">
        <v>3.7001442492478526E-2</v>
      </c>
      <c r="C245" s="2">
        <v>0.40842993043489917</v>
      </c>
      <c r="D245" s="2"/>
    </row>
    <row r="246" spans="1:4" x14ac:dyDescent="0.15">
      <c r="A246" s="3">
        <f t="shared" si="5"/>
        <v>24.300000000000075</v>
      </c>
      <c r="B246" s="2">
        <v>3.7041113395320596E-2</v>
      </c>
      <c r="C246" s="2">
        <v>0.40652938877167355</v>
      </c>
      <c r="D246" s="2"/>
    </row>
    <row r="247" spans="1:4" x14ac:dyDescent="0.15">
      <c r="A247" s="3">
        <f t="shared" si="5"/>
        <v>24.400000000000077</v>
      </c>
      <c r="B247" s="2">
        <v>3.7080774129968651E-2</v>
      </c>
      <c r="C247" s="2">
        <v>0.40463458080980863</v>
      </c>
      <c r="D247" s="2"/>
    </row>
    <row r="248" spans="1:4" x14ac:dyDescent="0.15">
      <c r="A248" s="3">
        <f t="shared" ref="A248:A253" si="6">A247+0.1</f>
        <v>24.500000000000078</v>
      </c>
      <c r="B248" s="2">
        <v>3.7120431793442363E-2</v>
      </c>
      <c r="C248" s="2">
        <v>0.40274544008455948</v>
      </c>
      <c r="D248" s="2"/>
    </row>
    <row r="249" spans="1:4" x14ac:dyDescent="0.15">
      <c r="A249" s="3">
        <f t="shared" si="6"/>
        <v>24.60000000000008</v>
      </c>
      <c r="B249" s="2">
        <v>3.7160093483385774E-2</v>
      </c>
      <c r="C249" s="2">
        <v>0.40086190013117251</v>
      </c>
      <c r="D249" s="2"/>
    </row>
    <row r="250" spans="1:4" x14ac:dyDescent="0.15">
      <c r="A250" s="3">
        <f t="shared" si="6"/>
        <v>24.700000000000081</v>
      </c>
      <c r="B250" s="2">
        <v>3.7199766299856496E-2</v>
      </c>
      <c r="C250" s="2">
        <v>0.39898389448489613</v>
      </c>
      <c r="D250" s="2"/>
    </row>
    <row r="251" spans="1:4" x14ac:dyDescent="0.15">
      <c r="A251" s="3">
        <f t="shared" si="6"/>
        <v>24.800000000000082</v>
      </c>
      <c r="B251" s="2">
        <v>3.7239457347110427E-2</v>
      </c>
      <c r="C251" s="2">
        <v>0.39711135668098174</v>
      </c>
      <c r="D251" s="2"/>
    </row>
    <row r="252" spans="1:4" x14ac:dyDescent="0.15">
      <c r="A252" s="3">
        <f t="shared" si="6"/>
        <v>24.900000000000084</v>
      </c>
      <c r="B252" s="2">
        <v>3.7279173735383239E-2</v>
      </c>
      <c r="C252" s="2">
        <v>0.39524422025467587</v>
      </c>
      <c r="D252" s="2"/>
    </row>
    <row r="253" spans="1:4" x14ac:dyDescent="0.15">
      <c r="A253" s="3">
        <f t="shared" si="6"/>
        <v>25.000000000000085</v>
      </c>
      <c r="B253" s="2">
        <v>3.7318922582667384E-2</v>
      </c>
      <c r="C253" s="2">
        <v>0.3933824187412267</v>
      </c>
      <c r="D253" s="2"/>
    </row>
    <row r="254" spans="1:4" x14ac:dyDescent="0.15">
      <c r="B254" s="2"/>
      <c r="C254" s="2"/>
      <c r="D254" s="2"/>
    </row>
    <row r="255" spans="1:4" x14ac:dyDescent="0.15">
      <c r="B255" s="2"/>
      <c r="C255" s="2"/>
      <c r="D255" s="2"/>
    </row>
    <row r="256" spans="1:4" x14ac:dyDescent="0.15">
      <c r="B256" s="2"/>
      <c r="C256" s="2"/>
      <c r="D256" s="2"/>
    </row>
    <row r="257" spans="2:4" x14ac:dyDescent="0.15">
      <c r="B257" s="2"/>
      <c r="C257" s="2"/>
      <c r="D257" s="2"/>
    </row>
    <row r="258" spans="2:4" x14ac:dyDescent="0.15">
      <c r="B258" s="2"/>
      <c r="C258" s="2"/>
      <c r="D258" s="2"/>
    </row>
    <row r="259" spans="2:4" x14ac:dyDescent="0.15">
      <c r="B259" s="2"/>
      <c r="C259" s="2"/>
      <c r="D259" s="2"/>
    </row>
    <row r="260" spans="2:4" x14ac:dyDescent="0.15">
      <c r="B260" s="2"/>
      <c r="C260" s="2"/>
      <c r="D260" s="2"/>
    </row>
    <row r="261" spans="2:4" x14ac:dyDescent="0.15">
      <c r="B261" s="2"/>
      <c r="C261" s="2"/>
      <c r="D261" s="2"/>
    </row>
    <row r="262" spans="2:4" x14ac:dyDescent="0.15">
      <c r="B262" s="2"/>
      <c r="C262" s="2"/>
      <c r="D262" s="2"/>
    </row>
    <row r="263" spans="2:4" x14ac:dyDescent="0.15">
      <c r="B263" s="2"/>
      <c r="C263" s="2"/>
      <c r="D263" s="2"/>
    </row>
    <row r="264" spans="2:4" x14ac:dyDescent="0.15">
      <c r="B264" s="2"/>
      <c r="C264" s="2"/>
      <c r="D264" s="2"/>
    </row>
    <row r="265" spans="2:4" x14ac:dyDescent="0.15">
      <c r="B265" s="2"/>
      <c r="C265" s="2"/>
      <c r="D265" s="2"/>
    </row>
    <row r="266" spans="2:4" x14ac:dyDescent="0.15">
      <c r="B266" s="2"/>
      <c r="C266" s="2"/>
      <c r="D266" s="2"/>
    </row>
    <row r="267" spans="2:4" x14ac:dyDescent="0.15">
      <c r="B267" s="2"/>
      <c r="C267" s="2"/>
      <c r="D267" s="2"/>
    </row>
    <row r="268" spans="2:4" x14ac:dyDescent="0.15">
      <c r="B268" s="2"/>
      <c r="C268" s="2"/>
      <c r="D268" s="2"/>
    </row>
    <row r="269" spans="2:4" x14ac:dyDescent="0.15">
      <c r="B269" s="2"/>
      <c r="C269" s="2"/>
      <c r="D269" s="2"/>
    </row>
    <row r="270" spans="2:4" x14ac:dyDescent="0.15">
      <c r="B270" s="2"/>
      <c r="C270" s="2"/>
      <c r="D270" s="2"/>
    </row>
    <row r="271" spans="2:4" x14ac:dyDescent="0.15">
      <c r="B271" s="2"/>
      <c r="C271" s="2"/>
      <c r="D271" s="2"/>
    </row>
    <row r="272" spans="2:4" x14ac:dyDescent="0.15">
      <c r="B272" s="2"/>
      <c r="C272" s="2"/>
      <c r="D272" s="2"/>
    </row>
    <row r="273" spans="2:4" x14ac:dyDescent="0.15">
      <c r="B273" s="2"/>
      <c r="C273" s="2"/>
      <c r="D273" s="2"/>
    </row>
    <row r="274" spans="2:4" x14ac:dyDescent="0.15">
      <c r="B274" s="2"/>
      <c r="C274" s="2"/>
      <c r="D274" s="2"/>
    </row>
    <row r="275" spans="2:4" x14ac:dyDescent="0.15">
      <c r="B275" s="2"/>
      <c r="C275" s="2"/>
      <c r="D275" s="2"/>
    </row>
    <row r="276" spans="2:4" x14ac:dyDescent="0.15">
      <c r="B276" s="2"/>
      <c r="C276" s="2"/>
      <c r="D276" s="2"/>
    </row>
    <row r="277" spans="2:4" x14ac:dyDescent="0.15">
      <c r="B277" s="2"/>
      <c r="C277" s="2"/>
      <c r="D277" s="2"/>
    </row>
    <row r="278" spans="2:4" x14ac:dyDescent="0.15">
      <c r="B278" s="2"/>
      <c r="C278" s="2"/>
      <c r="D278" s="2"/>
    </row>
    <row r="279" spans="2:4" x14ac:dyDescent="0.15">
      <c r="B279" s="2"/>
      <c r="C279" s="2"/>
      <c r="D279" s="2"/>
    </row>
    <row r="280" spans="2:4" x14ac:dyDescent="0.15">
      <c r="B280" s="2"/>
      <c r="C280" s="2"/>
      <c r="D280" s="2"/>
    </row>
    <row r="281" spans="2:4" x14ac:dyDescent="0.15">
      <c r="B281" s="2"/>
      <c r="C281" s="2"/>
      <c r="D281" s="2"/>
    </row>
    <row r="282" spans="2:4" x14ac:dyDescent="0.15">
      <c r="B282" s="2"/>
      <c r="C282" s="2"/>
      <c r="D282" s="2"/>
    </row>
    <row r="283" spans="2:4" x14ac:dyDescent="0.15">
      <c r="B283" s="2"/>
      <c r="C283" s="2"/>
      <c r="D283" s="2"/>
    </row>
    <row r="284" spans="2:4" x14ac:dyDescent="0.15">
      <c r="B284" s="2"/>
      <c r="C284" s="2"/>
      <c r="D284" s="2"/>
    </row>
    <row r="285" spans="2:4" x14ac:dyDescent="0.15">
      <c r="B285" s="2"/>
      <c r="C285" s="2"/>
      <c r="D285" s="2"/>
    </row>
    <row r="286" spans="2:4" x14ac:dyDescent="0.15">
      <c r="B286" s="2"/>
      <c r="C286" s="2"/>
      <c r="D286" s="2"/>
    </row>
    <row r="287" spans="2:4" x14ac:dyDescent="0.15">
      <c r="B287" s="2"/>
      <c r="C287" s="2"/>
      <c r="D287" s="2"/>
    </row>
    <row r="288" spans="2:4" x14ac:dyDescent="0.15">
      <c r="B288" s="2"/>
      <c r="C288" s="2"/>
      <c r="D288" s="2"/>
    </row>
    <row r="289" spans="2:4" x14ac:dyDescent="0.15">
      <c r="B289" s="2"/>
      <c r="C289" s="2"/>
      <c r="D289" s="2"/>
    </row>
    <row r="290" spans="2:4" x14ac:dyDescent="0.15">
      <c r="B290" s="2"/>
      <c r="C290" s="2"/>
      <c r="D290" s="2"/>
    </row>
    <row r="291" spans="2:4" x14ac:dyDescent="0.15">
      <c r="B291" s="2"/>
      <c r="C291" s="2"/>
      <c r="D291" s="2"/>
    </row>
    <row r="292" spans="2:4" x14ac:dyDescent="0.15">
      <c r="B292" s="2"/>
      <c r="C292" s="2"/>
      <c r="D292" s="2"/>
    </row>
    <row r="293" spans="2:4" x14ac:dyDescent="0.15">
      <c r="B293" s="2"/>
      <c r="C293" s="2"/>
      <c r="D293" s="2"/>
    </row>
    <row r="294" spans="2:4" x14ac:dyDescent="0.15">
      <c r="B294" s="2"/>
      <c r="C294" s="2"/>
      <c r="D294" s="2"/>
    </row>
    <row r="295" spans="2:4" x14ac:dyDescent="0.15">
      <c r="B295" s="2"/>
      <c r="C295" s="2"/>
      <c r="D295" s="2"/>
    </row>
    <row r="296" spans="2:4" x14ac:dyDescent="0.15">
      <c r="B296" s="2"/>
      <c r="C296" s="2"/>
      <c r="D296" s="2"/>
    </row>
    <row r="297" spans="2:4" x14ac:dyDescent="0.15">
      <c r="B297" s="2"/>
      <c r="C297" s="2"/>
      <c r="D297" s="2"/>
    </row>
    <row r="298" spans="2:4" x14ac:dyDescent="0.15">
      <c r="B298" s="2"/>
      <c r="C298" s="2"/>
      <c r="D298" s="2"/>
    </row>
    <row r="299" spans="2:4" x14ac:dyDescent="0.15">
      <c r="B299" s="2"/>
      <c r="C299" s="2"/>
      <c r="D299" s="2"/>
    </row>
    <row r="300" spans="2:4" x14ac:dyDescent="0.15">
      <c r="B300" s="2"/>
      <c r="C300" s="2"/>
      <c r="D300" s="2"/>
    </row>
    <row r="301" spans="2:4" x14ac:dyDescent="0.15">
      <c r="B301" s="2"/>
      <c r="C301" s="2"/>
      <c r="D301" s="2"/>
    </row>
    <row r="302" spans="2:4" x14ac:dyDescent="0.15">
      <c r="B302" s="2"/>
      <c r="C302" s="2"/>
      <c r="D302" s="2"/>
    </row>
    <row r="303" spans="2:4" x14ac:dyDescent="0.15">
      <c r="B303" s="2"/>
      <c r="C303" s="2"/>
      <c r="D303" s="2"/>
    </row>
    <row r="304" spans="2:4" x14ac:dyDescent="0.15">
      <c r="B304" s="2"/>
      <c r="C304" s="2"/>
      <c r="D304" s="2"/>
    </row>
    <row r="305" spans="2:4" x14ac:dyDescent="0.15">
      <c r="B305" s="2"/>
      <c r="C305" s="2"/>
      <c r="D305" s="2"/>
    </row>
    <row r="306" spans="2:4" x14ac:dyDescent="0.15">
      <c r="B306" s="2"/>
      <c r="C306" s="2"/>
      <c r="D306" s="2"/>
    </row>
    <row r="307" spans="2:4" x14ac:dyDescent="0.15">
      <c r="B307" s="2"/>
      <c r="C307" s="2"/>
      <c r="D307" s="2"/>
    </row>
    <row r="308" spans="2:4" x14ac:dyDescent="0.15">
      <c r="B308" s="2"/>
      <c r="C308" s="2"/>
      <c r="D308" s="2"/>
    </row>
    <row r="309" spans="2:4" x14ac:dyDescent="0.15">
      <c r="B309" s="2"/>
      <c r="C309" s="2"/>
      <c r="D309" s="2"/>
    </row>
    <row r="310" spans="2:4" x14ac:dyDescent="0.15">
      <c r="B310" s="2"/>
      <c r="C310" s="2"/>
      <c r="D310" s="2"/>
    </row>
    <row r="311" spans="2:4" x14ac:dyDescent="0.15">
      <c r="B311" s="2"/>
      <c r="C311" s="2"/>
      <c r="D311" s="2"/>
    </row>
    <row r="312" spans="2:4" x14ac:dyDescent="0.15">
      <c r="B312" s="2"/>
      <c r="C312" s="2"/>
      <c r="D312" s="2"/>
    </row>
    <row r="313" spans="2:4" x14ac:dyDescent="0.15">
      <c r="B313" s="2"/>
      <c r="C313" s="2"/>
      <c r="D313" s="2"/>
    </row>
    <row r="314" spans="2:4" x14ac:dyDescent="0.15">
      <c r="B314" s="2"/>
      <c r="C314" s="2"/>
      <c r="D314" s="2"/>
    </row>
    <row r="315" spans="2:4" x14ac:dyDescent="0.15">
      <c r="B315" s="2"/>
      <c r="C315" s="2"/>
      <c r="D315" s="2"/>
    </row>
    <row r="316" spans="2:4" x14ac:dyDescent="0.15">
      <c r="B316" s="2"/>
      <c r="C316" s="2"/>
      <c r="D316" s="2"/>
    </row>
    <row r="317" spans="2:4" x14ac:dyDescent="0.15">
      <c r="B317" s="2"/>
      <c r="C317" s="2"/>
      <c r="D317" s="2"/>
    </row>
    <row r="318" spans="2:4" x14ac:dyDescent="0.15">
      <c r="B318" s="2"/>
      <c r="C318" s="2"/>
      <c r="D318" s="2"/>
    </row>
    <row r="319" spans="2:4" x14ac:dyDescent="0.15">
      <c r="B319" s="2"/>
      <c r="C319" s="2"/>
      <c r="D319" s="2"/>
    </row>
    <row r="320" spans="2:4" x14ac:dyDescent="0.15">
      <c r="B320" s="2"/>
      <c r="C320" s="2"/>
      <c r="D320" s="2"/>
    </row>
    <row r="321" spans="2:4" x14ac:dyDescent="0.15">
      <c r="B321" s="2"/>
      <c r="C321" s="2"/>
      <c r="D321" s="2"/>
    </row>
    <row r="322" spans="2:4" x14ac:dyDescent="0.15">
      <c r="B322" s="2"/>
      <c r="C322" s="2"/>
      <c r="D322" s="2"/>
    </row>
    <row r="323" spans="2:4" x14ac:dyDescent="0.15">
      <c r="B323" s="2"/>
      <c r="C323" s="2"/>
      <c r="D323" s="2"/>
    </row>
    <row r="324" spans="2:4" x14ac:dyDescent="0.15">
      <c r="B324" s="2"/>
      <c r="C324" s="2"/>
      <c r="D324" s="2"/>
    </row>
    <row r="325" spans="2:4" x14ac:dyDescent="0.15">
      <c r="B325" s="2"/>
      <c r="C325" s="2"/>
      <c r="D325" s="2"/>
    </row>
    <row r="326" spans="2:4" x14ac:dyDescent="0.15">
      <c r="B326" s="2"/>
      <c r="C326" s="2"/>
      <c r="D326" s="2"/>
    </row>
    <row r="327" spans="2:4" x14ac:dyDescent="0.15">
      <c r="B327" s="2"/>
      <c r="C327" s="2"/>
      <c r="D327" s="2"/>
    </row>
    <row r="328" spans="2:4" x14ac:dyDescent="0.15">
      <c r="B328" s="2"/>
      <c r="C328" s="2"/>
      <c r="D328" s="2"/>
    </row>
    <row r="329" spans="2:4" x14ac:dyDescent="0.15">
      <c r="B329" s="2"/>
      <c r="C329" s="2"/>
      <c r="D329" s="2"/>
    </row>
    <row r="330" spans="2:4" x14ac:dyDescent="0.15">
      <c r="B330" s="2"/>
      <c r="C330" s="2"/>
      <c r="D330" s="2"/>
    </row>
    <row r="331" spans="2:4" x14ac:dyDescent="0.15">
      <c r="B331" s="2"/>
      <c r="C331" s="2"/>
      <c r="D331" s="2"/>
    </row>
    <row r="332" spans="2:4" x14ac:dyDescent="0.15">
      <c r="B332" s="2"/>
      <c r="C332" s="2"/>
      <c r="D332" s="2"/>
    </row>
    <row r="333" spans="2:4" x14ac:dyDescent="0.15">
      <c r="B333" s="2"/>
      <c r="C333" s="2"/>
      <c r="D333" s="2"/>
    </row>
    <row r="334" spans="2:4" x14ac:dyDescent="0.15">
      <c r="B334" s="2"/>
      <c r="C334" s="2"/>
      <c r="D334" s="2"/>
    </row>
    <row r="335" spans="2:4" x14ac:dyDescent="0.15">
      <c r="B335" s="2"/>
      <c r="C335" s="2"/>
      <c r="D335" s="2"/>
    </row>
    <row r="336" spans="2:4" x14ac:dyDescent="0.15">
      <c r="B336" s="2"/>
      <c r="C336" s="2"/>
      <c r="D336" s="2"/>
    </row>
    <row r="337" spans="2:4" x14ac:dyDescent="0.15">
      <c r="B337" s="2"/>
      <c r="C337" s="2"/>
      <c r="D337" s="2"/>
    </row>
    <row r="338" spans="2:4" x14ac:dyDescent="0.15">
      <c r="B338" s="2"/>
      <c r="C338" s="2"/>
      <c r="D338" s="2"/>
    </row>
    <row r="339" spans="2:4" x14ac:dyDescent="0.15">
      <c r="B339" s="2"/>
      <c r="C339" s="2"/>
      <c r="D339" s="2"/>
    </row>
    <row r="340" spans="2:4" x14ac:dyDescent="0.15">
      <c r="B340" s="2"/>
      <c r="C340" s="2"/>
      <c r="D340" s="2"/>
    </row>
    <row r="341" spans="2:4" x14ac:dyDescent="0.15">
      <c r="B341" s="2"/>
      <c r="C341" s="2"/>
      <c r="D341" s="2"/>
    </row>
    <row r="342" spans="2:4" x14ac:dyDescent="0.15">
      <c r="B342" s="2"/>
      <c r="C342" s="2"/>
      <c r="D342" s="2"/>
    </row>
    <row r="343" spans="2:4" x14ac:dyDescent="0.15">
      <c r="B343" s="2"/>
      <c r="C343" s="2"/>
      <c r="D343" s="2"/>
    </row>
    <row r="344" spans="2:4" x14ac:dyDescent="0.15">
      <c r="B344" s="2"/>
      <c r="C344" s="2"/>
      <c r="D344" s="2"/>
    </row>
    <row r="345" spans="2:4" x14ac:dyDescent="0.15">
      <c r="B345" s="2"/>
      <c r="C345" s="2"/>
      <c r="D345" s="2"/>
    </row>
    <row r="346" spans="2:4" x14ac:dyDescent="0.15">
      <c r="B346" s="2"/>
      <c r="C346" s="2"/>
      <c r="D346" s="2"/>
    </row>
    <row r="347" spans="2:4" x14ac:dyDescent="0.15">
      <c r="B347" s="2"/>
      <c r="C347" s="2"/>
      <c r="D347" s="2"/>
    </row>
    <row r="348" spans="2:4" x14ac:dyDescent="0.15">
      <c r="B348" s="2"/>
      <c r="C348" s="2"/>
      <c r="D348" s="2"/>
    </row>
    <row r="349" spans="2:4" x14ac:dyDescent="0.15">
      <c r="B349" s="2"/>
      <c r="C349" s="2"/>
      <c r="D349" s="2"/>
    </row>
    <row r="350" spans="2:4" x14ac:dyDescent="0.15">
      <c r="B350" s="2"/>
      <c r="C350" s="2"/>
      <c r="D350" s="2"/>
    </row>
    <row r="351" spans="2:4" x14ac:dyDescent="0.15">
      <c r="B351" s="2"/>
      <c r="C351" s="2"/>
      <c r="D351" s="2"/>
    </row>
    <row r="352" spans="2:4" x14ac:dyDescent="0.15">
      <c r="B352" s="2"/>
      <c r="C352" s="2"/>
      <c r="D352" s="2"/>
    </row>
    <row r="353" spans="2:4" x14ac:dyDescent="0.15">
      <c r="B353" s="2"/>
      <c r="C353" s="2"/>
      <c r="D353" s="2"/>
    </row>
    <row r="354" spans="2:4" x14ac:dyDescent="0.15">
      <c r="B354" s="2"/>
      <c r="C354" s="2"/>
      <c r="D354" s="2"/>
    </row>
    <row r="355" spans="2:4" x14ac:dyDescent="0.15">
      <c r="B355" s="2"/>
      <c r="C355" s="2"/>
      <c r="D355" s="2"/>
    </row>
    <row r="356" spans="2:4" x14ac:dyDescent="0.15">
      <c r="B356" s="2"/>
      <c r="C356" s="2"/>
      <c r="D356" s="2"/>
    </row>
    <row r="357" spans="2:4" x14ac:dyDescent="0.15">
      <c r="B357" s="2"/>
      <c r="C357" s="2"/>
      <c r="D357" s="2"/>
    </row>
    <row r="358" spans="2:4" x14ac:dyDescent="0.15">
      <c r="B358" s="2"/>
      <c r="C358" s="2"/>
      <c r="D358" s="2"/>
    </row>
    <row r="359" spans="2:4" x14ac:dyDescent="0.15">
      <c r="B359" s="2"/>
      <c r="C359" s="2"/>
      <c r="D359" s="2"/>
    </row>
    <row r="360" spans="2:4" x14ac:dyDescent="0.15">
      <c r="B360" s="2"/>
      <c r="C360" s="2"/>
      <c r="D360" s="2"/>
    </row>
    <row r="361" spans="2:4" x14ac:dyDescent="0.15">
      <c r="B361" s="2"/>
      <c r="C361" s="2"/>
      <c r="D361" s="2"/>
    </row>
    <row r="362" spans="2:4" x14ac:dyDescent="0.15">
      <c r="B362" s="2"/>
      <c r="C362" s="2"/>
      <c r="D362" s="2"/>
    </row>
    <row r="363" spans="2:4" x14ac:dyDescent="0.15">
      <c r="B363" s="2"/>
      <c r="C363" s="2"/>
      <c r="D363" s="2"/>
    </row>
    <row r="364" spans="2:4" x14ac:dyDescent="0.15">
      <c r="B364" s="2"/>
      <c r="C364" s="2"/>
      <c r="D364" s="2"/>
    </row>
    <row r="365" spans="2:4" x14ac:dyDescent="0.15">
      <c r="B365" s="2"/>
      <c r="C365" s="2"/>
      <c r="D365" s="2"/>
    </row>
    <row r="366" spans="2:4" x14ac:dyDescent="0.15">
      <c r="B366" s="2"/>
      <c r="C366" s="2"/>
      <c r="D366" s="2"/>
    </row>
    <row r="367" spans="2:4" x14ac:dyDescent="0.15">
      <c r="B367" s="2"/>
      <c r="C367" s="2"/>
      <c r="D367" s="2"/>
    </row>
    <row r="368" spans="2:4" x14ac:dyDescent="0.15">
      <c r="B368" s="2"/>
      <c r="C368" s="2"/>
      <c r="D368" s="2"/>
    </row>
    <row r="369" spans="2:4" x14ac:dyDescent="0.15">
      <c r="B369" s="2"/>
      <c r="C369" s="2"/>
      <c r="D369" s="2"/>
    </row>
    <row r="370" spans="2:4" x14ac:dyDescent="0.15">
      <c r="B370" s="2"/>
      <c r="C370" s="2"/>
      <c r="D370" s="2"/>
    </row>
    <row r="371" spans="2:4" x14ac:dyDescent="0.15">
      <c r="B371" s="2"/>
      <c r="C371" s="2"/>
      <c r="D371" s="2"/>
    </row>
    <row r="372" spans="2:4" x14ac:dyDescent="0.15">
      <c r="B372" s="2"/>
      <c r="C372" s="2"/>
      <c r="D372" s="2"/>
    </row>
    <row r="373" spans="2:4" x14ac:dyDescent="0.15">
      <c r="B373" s="2"/>
      <c r="C373" s="2"/>
      <c r="D373" s="2"/>
    </row>
    <row r="374" spans="2:4" x14ac:dyDescent="0.15">
      <c r="B374" s="2"/>
      <c r="C374" s="2"/>
      <c r="D374" s="2"/>
    </row>
    <row r="375" spans="2:4" x14ac:dyDescent="0.15">
      <c r="B375" s="2"/>
      <c r="C375" s="2"/>
      <c r="D375" s="2"/>
    </row>
    <row r="376" spans="2:4" x14ac:dyDescent="0.15">
      <c r="B376" s="2"/>
      <c r="C376" s="2"/>
      <c r="D376" s="2"/>
    </row>
    <row r="377" spans="2:4" x14ac:dyDescent="0.15">
      <c r="B377" s="2"/>
      <c r="C377" s="2"/>
      <c r="D377" s="2"/>
    </row>
    <row r="378" spans="2:4" x14ac:dyDescent="0.15">
      <c r="B378" s="2"/>
      <c r="C378" s="2"/>
      <c r="D378" s="2"/>
    </row>
    <row r="379" spans="2:4" x14ac:dyDescent="0.15">
      <c r="B379" s="2"/>
      <c r="C379" s="2"/>
      <c r="D379" s="2"/>
    </row>
    <row r="380" spans="2:4" x14ac:dyDescent="0.15">
      <c r="B380" s="2"/>
      <c r="C380" s="2"/>
      <c r="D380" s="2"/>
    </row>
    <row r="381" spans="2:4" x14ac:dyDescent="0.15">
      <c r="B381" s="2"/>
      <c r="C381" s="2"/>
      <c r="D381" s="2"/>
    </row>
    <row r="382" spans="2:4" x14ac:dyDescent="0.15">
      <c r="B382" s="2"/>
      <c r="C382" s="2"/>
      <c r="D382" s="2"/>
    </row>
    <row r="383" spans="2:4" x14ac:dyDescent="0.15">
      <c r="B383" s="2"/>
      <c r="C383" s="2"/>
      <c r="D383" s="2"/>
    </row>
    <row r="384" spans="2:4" x14ac:dyDescent="0.15">
      <c r="B384" s="2"/>
      <c r="C384" s="2"/>
      <c r="D384" s="2"/>
    </row>
    <row r="385" spans="2:4" x14ac:dyDescent="0.15">
      <c r="B385" s="2"/>
      <c r="C385" s="2"/>
      <c r="D385" s="2"/>
    </row>
    <row r="386" spans="2:4" x14ac:dyDescent="0.15">
      <c r="B386" s="2"/>
      <c r="C386" s="2"/>
      <c r="D386" s="2"/>
    </row>
    <row r="387" spans="2:4" x14ac:dyDescent="0.15">
      <c r="B387" s="2"/>
      <c r="C387" s="2"/>
      <c r="D387" s="2"/>
    </row>
    <row r="388" spans="2:4" x14ac:dyDescent="0.15">
      <c r="B388" s="2"/>
      <c r="C388" s="2"/>
      <c r="D388" s="2"/>
    </row>
    <row r="389" spans="2:4" x14ac:dyDescent="0.15">
      <c r="B389" s="2"/>
      <c r="C389" s="2"/>
      <c r="D389" s="2"/>
    </row>
    <row r="390" spans="2:4" x14ac:dyDescent="0.15">
      <c r="B390" s="2"/>
      <c r="C390" s="2"/>
      <c r="D390" s="2"/>
    </row>
    <row r="391" spans="2:4" x14ac:dyDescent="0.15">
      <c r="B391" s="2"/>
      <c r="C391" s="2"/>
      <c r="D391" s="2"/>
    </row>
    <row r="392" spans="2:4" x14ac:dyDescent="0.15">
      <c r="B392" s="2"/>
      <c r="C392" s="2"/>
      <c r="D392" s="2"/>
    </row>
    <row r="393" spans="2:4" x14ac:dyDescent="0.15">
      <c r="B393" s="2"/>
      <c r="C393" s="2"/>
      <c r="D393" s="2"/>
    </row>
    <row r="394" spans="2:4" x14ac:dyDescent="0.15">
      <c r="B394" s="2"/>
      <c r="C394" s="2"/>
      <c r="D394" s="2"/>
    </row>
    <row r="395" spans="2:4" x14ac:dyDescent="0.15">
      <c r="B395" s="2"/>
      <c r="C395" s="2"/>
      <c r="D395" s="2"/>
    </row>
    <row r="396" spans="2:4" x14ac:dyDescent="0.15">
      <c r="B396" s="2"/>
      <c r="C396" s="2"/>
      <c r="D396" s="2"/>
    </row>
    <row r="397" spans="2:4" x14ac:dyDescent="0.15">
      <c r="B397" s="2"/>
      <c r="C397" s="2"/>
      <c r="D397" s="2"/>
    </row>
    <row r="398" spans="2:4" x14ac:dyDescent="0.15">
      <c r="B398" s="2"/>
      <c r="C398" s="2"/>
      <c r="D398" s="2"/>
    </row>
    <row r="399" spans="2:4" x14ac:dyDescent="0.15">
      <c r="B399" s="2"/>
      <c r="C399" s="2"/>
      <c r="D399" s="2"/>
    </row>
    <row r="400" spans="2:4" x14ac:dyDescent="0.15">
      <c r="B400" s="2"/>
      <c r="C400" s="2"/>
      <c r="D400" s="2"/>
    </row>
    <row r="401" spans="2:4" x14ac:dyDescent="0.15">
      <c r="B401" s="2"/>
      <c r="C401" s="2"/>
      <c r="D401" s="2"/>
    </row>
    <row r="402" spans="2:4" x14ac:dyDescent="0.15">
      <c r="B402" s="2"/>
      <c r="C402" s="2"/>
      <c r="D402" s="2"/>
    </row>
    <row r="403" spans="2:4" x14ac:dyDescent="0.15">
      <c r="B403" s="2"/>
      <c r="C403" s="2"/>
      <c r="D403" s="2"/>
    </row>
    <row r="404" spans="2:4" x14ac:dyDescent="0.15">
      <c r="B404" s="2"/>
      <c r="C404" s="2"/>
      <c r="D404" s="2"/>
    </row>
    <row r="405" spans="2:4" x14ac:dyDescent="0.15">
      <c r="B405" s="2"/>
      <c r="C405" s="2"/>
      <c r="D405" s="2"/>
    </row>
    <row r="406" spans="2:4" x14ac:dyDescent="0.15">
      <c r="B406" s="2"/>
      <c r="C406" s="2"/>
      <c r="D406" s="2"/>
    </row>
    <row r="407" spans="2:4" x14ac:dyDescent="0.15">
      <c r="B407" s="2"/>
      <c r="C407" s="2"/>
      <c r="D407" s="2"/>
    </row>
    <row r="408" spans="2:4" x14ac:dyDescent="0.15">
      <c r="B408" s="2"/>
      <c r="C408" s="2"/>
      <c r="D408" s="2"/>
    </row>
    <row r="409" spans="2:4" x14ac:dyDescent="0.15">
      <c r="B409" s="2"/>
      <c r="C409" s="2"/>
      <c r="D409" s="2"/>
    </row>
    <row r="410" spans="2:4" x14ac:dyDescent="0.15">
      <c r="B410" s="2"/>
      <c r="C410" s="2"/>
      <c r="D410" s="2"/>
    </row>
    <row r="411" spans="2:4" x14ac:dyDescent="0.15">
      <c r="B411" s="2"/>
      <c r="C411" s="2"/>
      <c r="D411" s="2"/>
    </row>
    <row r="412" spans="2:4" x14ac:dyDescent="0.15">
      <c r="B412" s="2"/>
      <c r="C412" s="2"/>
      <c r="D412" s="2"/>
    </row>
    <row r="413" spans="2:4" x14ac:dyDescent="0.15">
      <c r="B413" s="2"/>
      <c r="C413" s="2"/>
      <c r="D413" s="2"/>
    </row>
    <row r="414" spans="2:4" x14ac:dyDescent="0.15">
      <c r="B414" s="2"/>
      <c r="C414" s="2"/>
      <c r="D414" s="2"/>
    </row>
    <row r="415" spans="2:4" x14ac:dyDescent="0.15">
      <c r="B415" s="2"/>
      <c r="C415" s="2"/>
      <c r="D415" s="2"/>
    </row>
    <row r="416" spans="2:4" x14ac:dyDescent="0.15">
      <c r="B416" s="2"/>
      <c r="C416" s="2"/>
      <c r="D416" s="2"/>
    </row>
    <row r="417" spans="2:4" x14ac:dyDescent="0.15">
      <c r="B417" s="2"/>
      <c r="C417" s="2"/>
      <c r="D417" s="2"/>
    </row>
    <row r="418" spans="2:4" x14ac:dyDescent="0.15">
      <c r="B418" s="2"/>
      <c r="C418" s="2"/>
      <c r="D418" s="2"/>
    </row>
    <row r="419" spans="2:4" x14ac:dyDescent="0.15">
      <c r="B419" s="2"/>
      <c r="C419" s="2"/>
      <c r="D419" s="2"/>
    </row>
    <row r="420" spans="2:4" x14ac:dyDescent="0.15">
      <c r="B420" s="2"/>
      <c r="C420" s="2"/>
      <c r="D420" s="2"/>
    </row>
    <row r="421" spans="2:4" x14ac:dyDescent="0.15">
      <c r="B421" s="2"/>
      <c r="C421" s="2"/>
      <c r="D421" s="2"/>
    </row>
    <row r="422" spans="2:4" x14ac:dyDescent="0.15">
      <c r="B422" s="2"/>
      <c r="C422" s="2"/>
      <c r="D422" s="2"/>
    </row>
    <row r="423" spans="2:4" x14ac:dyDescent="0.15">
      <c r="B423" s="2"/>
      <c r="C423" s="2"/>
      <c r="D423" s="2"/>
    </row>
    <row r="424" spans="2:4" x14ac:dyDescent="0.15">
      <c r="B424" s="2"/>
      <c r="C424" s="2"/>
      <c r="D424" s="2"/>
    </row>
    <row r="425" spans="2:4" x14ac:dyDescent="0.15">
      <c r="B425" s="2"/>
      <c r="C425" s="2"/>
      <c r="D425" s="2"/>
    </row>
    <row r="426" spans="2:4" x14ac:dyDescent="0.15">
      <c r="B426" s="2"/>
      <c r="C426" s="2"/>
      <c r="D426" s="2"/>
    </row>
    <row r="427" spans="2:4" x14ac:dyDescent="0.15">
      <c r="B427" s="2"/>
      <c r="C427" s="2"/>
      <c r="D427" s="2"/>
    </row>
    <row r="428" spans="2:4" x14ac:dyDescent="0.15">
      <c r="B428" s="2"/>
      <c r="C428" s="2"/>
      <c r="D428" s="2"/>
    </row>
    <row r="429" spans="2:4" x14ac:dyDescent="0.15">
      <c r="B429" s="2"/>
      <c r="C429" s="2"/>
      <c r="D429" s="2"/>
    </row>
    <row r="430" spans="2:4" x14ac:dyDescent="0.15">
      <c r="B430" s="2"/>
      <c r="C430" s="2"/>
      <c r="D430" s="2"/>
    </row>
    <row r="431" spans="2:4" x14ac:dyDescent="0.15">
      <c r="B431" s="2"/>
      <c r="C431" s="2"/>
      <c r="D431" s="2"/>
    </row>
    <row r="432" spans="2:4" x14ac:dyDescent="0.15">
      <c r="B432" s="2"/>
      <c r="C432" s="2"/>
      <c r="D432" s="2"/>
    </row>
    <row r="433" spans="2:4" x14ac:dyDescent="0.15">
      <c r="B433" s="2"/>
      <c r="C433" s="2"/>
      <c r="D433" s="2"/>
    </row>
    <row r="434" spans="2:4" x14ac:dyDescent="0.15">
      <c r="B434" s="2"/>
      <c r="C434" s="2"/>
      <c r="D434" s="2"/>
    </row>
    <row r="435" spans="2:4" x14ac:dyDescent="0.15">
      <c r="B435" s="2"/>
      <c r="C435" s="2"/>
      <c r="D435" s="2"/>
    </row>
    <row r="436" spans="2:4" x14ac:dyDescent="0.15">
      <c r="B436" s="2"/>
      <c r="C436" s="2"/>
      <c r="D436" s="2"/>
    </row>
    <row r="437" spans="2:4" x14ac:dyDescent="0.15">
      <c r="B437" s="2"/>
      <c r="C437" s="2"/>
      <c r="D437" s="2"/>
    </row>
    <row r="438" spans="2:4" x14ac:dyDescent="0.15">
      <c r="B438" s="2"/>
      <c r="C438" s="2"/>
      <c r="D438" s="2"/>
    </row>
    <row r="439" spans="2:4" x14ac:dyDescent="0.15">
      <c r="B439" s="2"/>
      <c r="C439" s="2"/>
      <c r="D439" s="2"/>
    </row>
    <row r="440" spans="2:4" x14ac:dyDescent="0.15">
      <c r="B440" s="2"/>
      <c r="C440" s="2"/>
      <c r="D440" s="2"/>
    </row>
    <row r="441" spans="2:4" x14ac:dyDescent="0.15">
      <c r="B441" s="2"/>
      <c r="C441" s="2"/>
      <c r="D441" s="2"/>
    </row>
    <row r="442" spans="2:4" x14ac:dyDescent="0.15">
      <c r="B442" s="2"/>
      <c r="C442" s="2"/>
      <c r="D442" s="2"/>
    </row>
    <row r="443" spans="2:4" x14ac:dyDescent="0.15">
      <c r="B443" s="2"/>
      <c r="C443" s="2"/>
      <c r="D443" s="2"/>
    </row>
    <row r="444" spans="2:4" x14ac:dyDescent="0.15">
      <c r="B444" s="2"/>
      <c r="C444" s="2"/>
      <c r="D444" s="2"/>
    </row>
    <row r="445" spans="2:4" x14ac:dyDescent="0.15">
      <c r="B445" s="2"/>
      <c r="C445" s="2"/>
      <c r="D445" s="2"/>
    </row>
    <row r="446" spans="2:4" x14ac:dyDescent="0.15">
      <c r="B446" s="2"/>
      <c r="C446" s="2"/>
      <c r="D446" s="2"/>
    </row>
    <row r="447" spans="2:4" x14ac:dyDescent="0.15">
      <c r="B447" s="2"/>
      <c r="C447" s="2"/>
      <c r="D447" s="2"/>
    </row>
    <row r="448" spans="2:4" x14ac:dyDescent="0.15">
      <c r="B448" s="2"/>
      <c r="C448" s="2"/>
      <c r="D448" s="2"/>
    </row>
    <row r="449" spans="2:4" x14ac:dyDescent="0.15">
      <c r="B449" s="2"/>
      <c r="C449" s="2"/>
      <c r="D449" s="2"/>
    </row>
    <row r="450" spans="2:4" x14ac:dyDescent="0.15">
      <c r="B450" s="2"/>
      <c r="C450" s="2"/>
      <c r="D450" s="2"/>
    </row>
    <row r="451" spans="2:4" x14ac:dyDescent="0.15">
      <c r="B451" s="2"/>
      <c r="C451" s="2"/>
      <c r="D451" s="2"/>
    </row>
    <row r="452" spans="2:4" x14ac:dyDescent="0.15">
      <c r="B452" s="2"/>
      <c r="C452" s="2"/>
      <c r="D452" s="2"/>
    </row>
    <row r="453" spans="2:4" x14ac:dyDescent="0.15">
      <c r="B453" s="2"/>
      <c r="C453" s="2"/>
      <c r="D453" s="2"/>
    </row>
    <row r="454" spans="2:4" x14ac:dyDescent="0.15">
      <c r="B454" s="2"/>
      <c r="C454" s="2"/>
      <c r="D454" s="2"/>
    </row>
    <row r="455" spans="2:4" x14ac:dyDescent="0.15">
      <c r="B455" s="2"/>
      <c r="C455" s="2"/>
      <c r="D455" s="2"/>
    </row>
    <row r="456" spans="2:4" x14ac:dyDescent="0.15">
      <c r="B456" s="2"/>
      <c r="C456" s="2"/>
      <c r="D456" s="2"/>
    </row>
    <row r="457" spans="2:4" x14ac:dyDescent="0.15">
      <c r="B457" s="2"/>
      <c r="C457" s="2"/>
      <c r="D457" s="2"/>
    </row>
    <row r="458" spans="2:4" x14ac:dyDescent="0.15">
      <c r="B458" s="2"/>
      <c r="C458" s="2"/>
      <c r="D458" s="2"/>
    </row>
    <row r="459" spans="2:4" x14ac:dyDescent="0.15">
      <c r="B459" s="2"/>
      <c r="C459" s="2"/>
      <c r="D459" s="2"/>
    </row>
    <row r="460" spans="2:4" x14ac:dyDescent="0.15">
      <c r="B460" s="2"/>
      <c r="C460" s="2"/>
      <c r="D460" s="2"/>
    </row>
    <row r="461" spans="2:4" x14ac:dyDescent="0.15">
      <c r="B461" s="2"/>
      <c r="C461" s="2"/>
      <c r="D461" s="2"/>
    </row>
    <row r="462" spans="2:4" x14ac:dyDescent="0.15">
      <c r="B462" s="2"/>
      <c r="C462" s="2"/>
      <c r="D462" s="2"/>
    </row>
    <row r="463" spans="2:4" x14ac:dyDescent="0.15">
      <c r="B463" s="2"/>
      <c r="C463" s="2"/>
      <c r="D463" s="2"/>
    </row>
    <row r="464" spans="2:4" x14ac:dyDescent="0.15">
      <c r="B464" s="2"/>
      <c r="C464" s="2"/>
      <c r="D464" s="2"/>
    </row>
    <row r="465" spans="2:4" x14ac:dyDescent="0.15">
      <c r="B465" s="2"/>
      <c r="C465" s="2"/>
      <c r="D465" s="2"/>
    </row>
    <row r="466" spans="2:4" x14ac:dyDescent="0.15">
      <c r="B466" s="2"/>
      <c r="C466" s="2"/>
      <c r="D466" s="2"/>
    </row>
    <row r="467" spans="2:4" x14ac:dyDescent="0.15">
      <c r="B467" s="2"/>
      <c r="C467" s="2"/>
      <c r="D467" s="2"/>
    </row>
    <row r="468" spans="2:4" x14ac:dyDescent="0.15">
      <c r="B468" s="2"/>
      <c r="C468" s="2"/>
      <c r="D468" s="2"/>
    </row>
    <row r="469" spans="2:4" x14ac:dyDescent="0.15">
      <c r="B469" s="2"/>
      <c r="C469" s="2"/>
      <c r="D469" s="2"/>
    </row>
    <row r="470" spans="2:4" x14ac:dyDescent="0.15">
      <c r="B470" s="2"/>
      <c r="C470" s="2"/>
      <c r="D470" s="2"/>
    </row>
    <row r="471" spans="2:4" x14ac:dyDescent="0.15">
      <c r="B471" s="2"/>
      <c r="C471" s="2"/>
      <c r="D471" s="2"/>
    </row>
    <row r="472" spans="2:4" x14ac:dyDescent="0.15">
      <c r="B472" s="2"/>
      <c r="C472" s="2"/>
      <c r="D472" s="2"/>
    </row>
    <row r="473" spans="2:4" x14ac:dyDescent="0.15">
      <c r="B473" s="2"/>
      <c r="C473" s="2"/>
      <c r="D473" s="2"/>
    </row>
    <row r="474" spans="2:4" x14ac:dyDescent="0.15">
      <c r="B474" s="2"/>
      <c r="C474" s="2"/>
      <c r="D474" s="2"/>
    </row>
    <row r="475" spans="2:4" x14ac:dyDescent="0.15">
      <c r="B475" s="2"/>
      <c r="C475" s="2"/>
      <c r="D475" s="2"/>
    </row>
    <row r="476" spans="2:4" x14ac:dyDescent="0.15">
      <c r="B476" s="2"/>
      <c r="C476" s="2"/>
      <c r="D476" s="2"/>
    </row>
    <row r="477" spans="2:4" x14ac:dyDescent="0.15">
      <c r="B477" s="2"/>
      <c r="C477" s="2"/>
      <c r="D477" s="2"/>
    </row>
    <row r="478" spans="2:4" x14ac:dyDescent="0.15">
      <c r="B478" s="2"/>
      <c r="C478" s="2"/>
      <c r="D478" s="2"/>
    </row>
    <row r="479" spans="2:4" x14ac:dyDescent="0.15">
      <c r="B479" s="2"/>
      <c r="C479" s="2"/>
      <c r="D479" s="2"/>
    </row>
    <row r="480" spans="2:4" x14ac:dyDescent="0.15">
      <c r="B480" s="2"/>
      <c r="C480" s="2"/>
      <c r="D480" s="2"/>
    </row>
    <row r="481" spans="2:4" x14ac:dyDescent="0.15">
      <c r="B481" s="2"/>
      <c r="C481" s="2"/>
      <c r="D481" s="2"/>
    </row>
    <row r="482" spans="2:4" x14ac:dyDescent="0.15">
      <c r="B482" s="2"/>
      <c r="C482" s="2"/>
      <c r="D482" s="2"/>
    </row>
    <row r="483" spans="2:4" x14ac:dyDescent="0.15">
      <c r="B483" s="2"/>
      <c r="C483" s="2"/>
      <c r="D483" s="2"/>
    </row>
    <row r="484" spans="2:4" x14ac:dyDescent="0.15">
      <c r="B484" s="2"/>
      <c r="C484" s="2"/>
      <c r="D484" s="2"/>
    </row>
    <row r="485" spans="2:4" x14ac:dyDescent="0.15">
      <c r="B485" s="2"/>
      <c r="C485" s="2"/>
      <c r="D485" s="2"/>
    </row>
    <row r="486" spans="2:4" x14ac:dyDescent="0.15">
      <c r="B486" s="2"/>
      <c r="C486" s="2"/>
      <c r="D486" s="2"/>
    </row>
    <row r="487" spans="2:4" x14ac:dyDescent="0.15">
      <c r="B487" s="2"/>
      <c r="C487" s="2"/>
      <c r="D487" s="2"/>
    </row>
    <row r="488" spans="2:4" x14ac:dyDescent="0.15">
      <c r="B488" s="2"/>
      <c r="C488" s="2"/>
      <c r="D488" s="2"/>
    </row>
    <row r="489" spans="2:4" x14ac:dyDescent="0.15">
      <c r="B489" s="2"/>
      <c r="C489" s="2"/>
      <c r="D489" s="2"/>
    </row>
    <row r="490" spans="2:4" x14ac:dyDescent="0.15">
      <c r="B490" s="2"/>
      <c r="C490" s="2"/>
      <c r="D490" s="2"/>
    </row>
    <row r="491" spans="2:4" x14ac:dyDescent="0.15">
      <c r="B491" s="2"/>
      <c r="C491" s="2"/>
      <c r="D491" s="2"/>
    </row>
    <row r="492" spans="2:4" x14ac:dyDescent="0.15">
      <c r="B492" s="2"/>
      <c r="C492" s="2"/>
      <c r="D492" s="2"/>
    </row>
    <row r="493" spans="2:4" x14ac:dyDescent="0.15">
      <c r="B493" s="2"/>
      <c r="C493" s="2"/>
      <c r="D493" s="2"/>
    </row>
    <row r="494" spans="2:4" x14ac:dyDescent="0.15">
      <c r="B494" s="2"/>
      <c r="C494" s="2"/>
      <c r="D494" s="2"/>
    </row>
    <row r="495" spans="2:4" x14ac:dyDescent="0.15">
      <c r="B495" s="2"/>
      <c r="C495" s="2"/>
      <c r="D495" s="2"/>
    </row>
    <row r="496" spans="2:4" x14ac:dyDescent="0.15">
      <c r="B496" s="2"/>
      <c r="C496" s="2"/>
      <c r="D496" s="2"/>
    </row>
    <row r="497" spans="2:4" x14ac:dyDescent="0.15">
      <c r="B497" s="2"/>
      <c r="C497" s="2"/>
      <c r="D497" s="2"/>
    </row>
    <row r="498" spans="2:4" x14ac:dyDescent="0.15">
      <c r="B498" s="2"/>
      <c r="C498" s="2"/>
      <c r="D498" s="2"/>
    </row>
    <row r="499" spans="2:4" x14ac:dyDescent="0.15">
      <c r="B499" s="2"/>
      <c r="C499" s="2"/>
      <c r="D499" s="2"/>
    </row>
    <row r="500" spans="2:4" x14ac:dyDescent="0.15">
      <c r="B500" s="2"/>
      <c r="C500" s="2"/>
      <c r="D500" s="2"/>
    </row>
    <row r="501" spans="2:4" x14ac:dyDescent="0.15">
      <c r="B501" s="2"/>
      <c r="C501" s="2"/>
      <c r="D501" s="2"/>
    </row>
    <row r="502" spans="2:4" x14ac:dyDescent="0.15">
      <c r="B502" s="2"/>
      <c r="C502" s="2"/>
      <c r="D502" s="2"/>
    </row>
    <row r="503" spans="2:4" x14ac:dyDescent="0.15">
      <c r="B503" s="2"/>
      <c r="C503" s="2"/>
      <c r="D503" s="2"/>
    </row>
    <row r="504" spans="2:4" x14ac:dyDescent="0.15">
      <c r="B504" s="2"/>
      <c r="C504" s="2"/>
      <c r="D504" s="2"/>
    </row>
    <row r="505" spans="2:4" x14ac:dyDescent="0.15">
      <c r="B505" s="2"/>
      <c r="C505" s="2"/>
      <c r="D505" s="2"/>
    </row>
    <row r="506" spans="2:4" x14ac:dyDescent="0.15">
      <c r="B506" s="2"/>
      <c r="C506" s="2"/>
      <c r="D506" s="2"/>
    </row>
    <row r="507" spans="2:4" x14ac:dyDescent="0.15">
      <c r="B507" s="2"/>
      <c r="C507" s="2"/>
      <c r="D507" s="2"/>
    </row>
    <row r="508" spans="2:4" x14ac:dyDescent="0.15">
      <c r="B508" s="2"/>
      <c r="C508" s="2"/>
      <c r="D508" s="2"/>
    </row>
    <row r="509" spans="2:4" x14ac:dyDescent="0.15">
      <c r="B509" s="2"/>
      <c r="C509" s="2"/>
      <c r="D509" s="2"/>
    </row>
    <row r="510" spans="2:4" x14ac:dyDescent="0.15">
      <c r="B510" s="2"/>
      <c r="C510" s="2"/>
      <c r="D510" s="2"/>
    </row>
    <row r="511" spans="2:4" x14ac:dyDescent="0.15">
      <c r="B511" s="2"/>
      <c r="C511" s="2"/>
      <c r="D511" s="2"/>
    </row>
    <row r="512" spans="2:4" x14ac:dyDescent="0.15">
      <c r="B512" s="2"/>
      <c r="C512" s="2"/>
      <c r="D512" s="2"/>
    </row>
    <row r="513" spans="2:4" x14ac:dyDescent="0.15">
      <c r="B513" s="2"/>
      <c r="C513" s="2"/>
      <c r="D513" s="2"/>
    </row>
    <row r="514" spans="2:4" x14ac:dyDescent="0.15">
      <c r="B514" s="2"/>
      <c r="C514" s="2"/>
      <c r="D514" s="2"/>
    </row>
    <row r="515" spans="2:4" x14ac:dyDescent="0.15">
      <c r="B515" s="2"/>
      <c r="C515" s="2"/>
      <c r="D515" s="2"/>
    </row>
    <row r="516" spans="2:4" x14ac:dyDescent="0.15">
      <c r="B516" s="2"/>
      <c r="C516" s="2"/>
      <c r="D516" s="2"/>
    </row>
    <row r="517" spans="2:4" x14ac:dyDescent="0.15">
      <c r="B517" s="2"/>
      <c r="C517" s="2"/>
      <c r="D517" s="2"/>
    </row>
    <row r="518" spans="2:4" x14ac:dyDescent="0.15">
      <c r="B518" s="2"/>
      <c r="C518" s="2"/>
      <c r="D518" s="2"/>
    </row>
    <row r="519" spans="2:4" x14ac:dyDescent="0.15">
      <c r="B519" s="2"/>
      <c r="C519" s="2"/>
      <c r="D519" s="2"/>
    </row>
    <row r="520" spans="2:4" x14ac:dyDescent="0.15">
      <c r="B520" s="2"/>
      <c r="C520" s="2"/>
      <c r="D520" s="2"/>
    </row>
    <row r="521" spans="2:4" x14ac:dyDescent="0.15">
      <c r="B521" s="2"/>
      <c r="C521" s="2"/>
      <c r="D521" s="2"/>
    </row>
    <row r="522" spans="2:4" x14ac:dyDescent="0.15">
      <c r="B522" s="2"/>
      <c r="C522" s="2"/>
      <c r="D522" s="2"/>
    </row>
    <row r="523" spans="2:4" x14ac:dyDescent="0.15">
      <c r="B523" s="2"/>
      <c r="C523" s="2"/>
      <c r="D523" s="2"/>
    </row>
    <row r="524" spans="2:4" x14ac:dyDescent="0.15">
      <c r="B524" s="2"/>
      <c r="C524" s="2"/>
      <c r="D524" s="2"/>
    </row>
    <row r="525" spans="2:4" x14ac:dyDescent="0.15">
      <c r="B525" s="2"/>
      <c r="C525" s="2"/>
      <c r="D525" s="2"/>
    </row>
    <row r="526" spans="2:4" x14ac:dyDescent="0.15">
      <c r="B526" s="2"/>
      <c r="C526" s="2"/>
      <c r="D526" s="2"/>
    </row>
    <row r="527" spans="2:4" x14ac:dyDescent="0.15">
      <c r="B527" s="2"/>
      <c r="C527" s="2"/>
      <c r="D527" s="2"/>
    </row>
    <row r="528" spans="2:4" x14ac:dyDescent="0.15">
      <c r="B528" s="2"/>
      <c r="C528" s="2"/>
      <c r="D528" s="2"/>
    </row>
    <row r="529" spans="2:4" x14ac:dyDescent="0.15">
      <c r="B529" s="2"/>
      <c r="C529" s="2"/>
      <c r="D529" s="2"/>
    </row>
    <row r="530" spans="2:4" x14ac:dyDescent="0.15">
      <c r="B530" s="2"/>
      <c r="C530" s="2"/>
      <c r="D530" s="2"/>
    </row>
    <row r="531" spans="2:4" x14ac:dyDescent="0.15">
      <c r="B531" s="2"/>
      <c r="C531" s="2"/>
      <c r="D531" s="2"/>
    </row>
    <row r="532" spans="2:4" x14ac:dyDescent="0.15">
      <c r="B532" s="2"/>
      <c r="C532" s="2"/>
      <c r="D532" s="2"/>
    </row>
    <row r="533" spans="2:4" x14ac:dyDescent="0.15">
      <c r="B533" s="2"/>
      <c r="C533" s="2"/>
      <c r="D533" s="2"/>
    </row>
    <row r="534" spans="2:4" x14ac:dyDescent="0.15">
      <c r="B534" s="2"/>
      <c r="C534" s="2"/>
      <c r="D534" s="2"/>
    </row>
    <row r="535" spans="2:4" x14ac:dyDescent="0.15">
      <c r="B535" s="2"/>
      <c r="C535" s="2"/>
      <c r="D535" s="2"/>
    </row>
    <row r="536" spans="2:4" x14ac:dyDescent="0.15">
      <c r="B536" s="2"/>
      <c r="C536" s="2"/>
      <c r="D536" s="2"/>
    </row>
    <row r="537" spans="2:4" x14ac:dyDescent="0.15">
      <c r="B537" s="2"/>
      <c r="C537" s="2"/>
      <c r="D537" s="2"/>
    </row>
    <row r="538" spans="2:4" x14ac:dyDescent="0.15">
      <c r="B538" s="2"/>
      <c r="C538" s="2"/>
      <c r="D538" s="2"/>
    </row>
    <row r="539" spans="2:4" x14ac:dyDescent="0.15">
      <c r="B539" s="2"/>
      <c r="C539" s="2"/>
      <c r="D539" s="2"/>
    </row>
    <row r="540" spans="2:4" x14ac:dyDescent="0.15">
      <c r="B540" s="2"/>
      <c r="C540" s="2"/>
      <c r="D540" s="2"/>
    </row>
    <row r="541" spans="2:4" x14ac:dyDescent="0.15">
      <c r="B541" s="2"/>
      <c r="C541" s="2"/>
      <c r="D541" s="2"/>
    </row>
    <row r="542" spans="2:4" x14ac:dyDescent="0.15">
      <c r="B542" s="2"/>
      <c r="C542" s="2"/>
      <c r="D542" s="2"/>
    </row>
    <row r="543" spans="2:4" x14ac:dyDescent="0.15">
      <c r="B543" s="2"/>
      <c r="C543" s="2"/>
      <c r="D543" s="2"/>
    </row>
    <row r="544" spans="2:4" x14ac:dyDescent="0.15">
      <c r="B544" s="2"/>
      <c r="C544" s="2"/>
      <c r="D544" s="2"/>
    </row>
    <row r="545" spans="2:4" x14ac:dyDescent="0.15">
      <c r="B545" s="2"/>
      <c r="C545" s="2"/>
      <c r="D545" s="2"/>
    </row>
    <row r="546" spans="2:4" x14ac:dyDescent="0.15">
      <c r="B546" s="2"/>
      <c r="C546" s="2"/>
      <c r="D546" s="2"/>
    </row>
    <row r="547" spans="2:4" x14ac:dyDescent="0.15">
      <c r="B547" s="2"/>
      <c r="C547" s="2"/>
      <c r="D547" s="2"/>
    </row>
    <row r="548" spans="2:4" x14ac:dyDescent="0.15">
      <c r="B548" s="2"/>
      <c r="C548" s="2"/>
      <c r="D548" s="2"/>
    </row>
    <row r="549" spans="2:4" x14ac:dyDescent="0.15">
      <c r="B549" s="2"/>
      <c r="C549" s="2"/>
      <c r="D549" s="2"/>
    </row>
    <row r="550" spans="2:4" x14ac:dyDescent="0.15">
      <c r="B550" s="2"/>
      <c r="C550" s="2"/>
      <c r="D550" s="2"/>
    </row>
    <row r="551" spans="2:4" x14ac:dyDescent="0.15">
      <c r="B551" s="2"/>
      <c r="C551" s="2"/>
      <c r="D551" s="2"/>
    </row>
    <row r="552" spans="2:4" x14ac:dyDescent="0.15">
      <c r="B552" s="2"/>
      <c r="C552" s="2"/>
      <c r="D552" s="2"/>
    </row>
    <row r="553" spans="2:4" x14ac:dyDescent="0.15">
      <c r="B553" s="2"/>
      <c r="C553" s="2"/>
      <c r="D553" s="2"/>
    </row>
    <row r="554" spans="2:4" x14ac:dyDescent="0.15">
      <c r="B554" s="2"/>
      <c r="C554" s="2"/>
      <c r="D554" s="2"/>
    </row>
    <row r="555" spans="2:4" x14ac:dyDescent="0.15">
      <c r="B555" s="2"/>
      <c r="C555" s="2"/>
      <c r="D555" s="2"/>
    </row>
    <row r="556" spans="2:4" x14ac:dyDescent="0.15">
      <c r="B556" s="2"/>
      <c r="C556" s="2"/>
      <c r="D556" s="2"/>
    </row>
    <row r="557" spans="2:4" x14ac:dyDescent="0.15">
      <c r="B557" s="2"/>
      <c r="C557" s="2"/>
      <c r="D557" s="2"/>
    </row>
    <row r="558" spans="2:4" x14ac:dyDescent="0.15">
      <c r="B558" s="2"/>
      <c r="C558" s="2"/>
      <c r="D558" s="2"/>
    </row>
    <row r="559" spans="2:4" x14ac:dyDescent="0.15">
      <c r="B559" s="2"/>
      <c r="C559" s="2"/>
      <c r="D559" s="2"/>
    </row>
    <row r="560" spans="2:4" x14ac:dyDescent="0.15">
      <c r="B560" s="2"/>
      <c r="C560" s="2"/>
      <c r="D560" s="2"/>
    </row>
    <row r="561" spans="2:4" x14ac:dyDescent="0.15">
      <c r="B561" s="2"/>
      <c r="C561" s="2"/>
      <c r="D561" s="2"/>
    </row>
    <row r="562" spans="2:4" x14ac:dyDescent="0.15">
      <c r="B562" s="2"/>
      <c r="C562" s="2"/>
      <c r="D562" s="2"/>
    </row>
    <row r="563" spans="2:4" x14ac:dyDescent="0.15">
      <c r="B563" s="2"/>
      <c r="C563" s="2"/>
      <c r="D563" s="2"/>
    </row>
    <row r="564" spans="2:4" x14ac:dyDescent="0.15">
      <c r="B564" s="2"/>
      <c r="C564" s="2"/>
      <c r="D564" s="2"/>
    </row>
    <row r="565" spans="2:4" x14ac:dyDescent="0.15">
      <c r="B565" s="2"/>
      <c r="C565" s="2"/>
      <c r="D565" s="2"/>
    </row>
    <row r="566" spans="2:4" x14ac:dyDescent="0.15">
      <c r="B566" s="2"/>
      <c r="C566" s="2"/>
      <c r="D566" s="2"/>
    </row>
    <row r="567" spans="2:4" x14ac:dyDescent="0.15">
      <c r="B567" s="2"/>
      <c r="C567" s="2"/>
      <c r="D567" s="2"/>
    </row>
    <row r="568" spans="2:4" x14ac:dyDescent="0.15">
      <c r="B568" s="2"/>
      <c r="C568" s="2"/>
      <c r="D568" s="2"/>
    </row>
    <row r="569" spans="2:4" x14ac:dyDescent="0.15">
      <c r="B569" s="2"/>
      <c r="C569" s="2"/>
      <c r="D569" s="2"/>
    </row>
    <row r="570" spans="2:4" x14ac:dyDescent="0.15">
      <c r="B570" s="2"/>
      <c r="C570" s="2"/>
      <c r="D570" s="2"/>
    </row>
    <row r="571" spans="2:4" x14ac:dyDescent="0.15">
      <c r="B571" s="2"/>
      <c r="C571" s="2"/>
      <c r="D571" s="2"/>
    </row>
    <row r="572" spans="2:4" x14ac:dyDescent="0.15">
      <c r="B572" s="2"/>
      <c r="C572" s="2"/>
      <c r="D572" s="2"/>
    </row>
    <row r="573" spans="2:4" x14ac:dyDescent="0.15">
      <c r="B573" s="2"/>
      <c r="C573" s="2"/>
      <c r="D573" s="2"/>
    </row>
    <row r="574" spans="2:4" x14ac:dyDescent="0.15">
      <c r="B574" s="2"/>
      <c r="C574" s="2"/>
      <c r="D574" s="2"/>
    </row>
    <row r="575" spans="2:4" x14ac:dyDescent="0.15">
      <c r="B575" s="2"/>
      <c r="C575" s="2"/>
      <c r="D575" s="2"/>
    </row>
    <row r="576" spans="2:4" x14ac:dyDescent="0.15">
      <c r="B576" s="2"/>
      <c r="C576" s="2"/>
      <c r="D576" s="2"/>
    </row>
    <row r="577" spans="2:4" x14ac:dyDescent="0.15">
      <c r="B577" s="2"/>
      <c r="C577" s="2"/>
      <c r="D577" s="2"/>
    </row>
    <row r="578" spans="2:4" x14ac:dyDescent="0.15">
      <c r="B578" s="2"/>
      <c r="C578" s="2"/>
      <c r="D578" s="2"/>
    </row>
    <row r="579" spans="2:4" x14ac:dyDescent="0.15">
      <c r="B579" s="2"/>
      <c r="C579" s="2"/>
      <c r="D579" s="2"/>
    </row>
    <row r="580" spans="2:4" x14ac:dyDescent="0.15">
      <c r="B580" s="2"/>
      <c r="C580" s="2"/>
      <c r="D580" s="2"/>
    </row>
    <row r="581" spans="2:4" x14ac:dyDescent="0.15">
      <c r="B581" s="2"/>
      <c r="C581" s="2"/>
      <c r="D581" s="2"/>
    </row>
    <row r="582" spans="2:4" x14ac:dyDescent="0.15">
      <c r="B582" s="2"/>
      <c r="C582" s="2"/>
      <c r="D582" s="2"/>
    </row>
    <row r="583" spans="2:4" x14ac:dyDescent="0.15">
      <c r="B583" s="2"/>
      <c r="C583" s="2"/>
      <c r="D583" s="2"/>
    </row>
    <row r="584" spans="2:4" x14ac:dyDescent="0.15">
      <c r="B584" s="2"/>
      <c r="C584" s="2"/>
      <c r="D584" s="2"/>
    </row>
    <row r="585" spans="2:4" x14ac:dyDescent="0.15">
      <c r="B585" s="2"/>
      <c r="C585" s="2"/>
      <c r="D585" s="2"/>
    </row>
    <row r="586" spans="2:4" x14ac:dyDescent="0.15">
      <c r="B586" s="2"/>
      <c r="C586" s="2"/>
      <c r="D586" s="2"/>
    </row>
    <row r="587" spans="2:4" x14ac:dyDescent="0.15">
      <c r="B587" s="2"/>
      <c r="C587" s="2"/>
      <c r="D587" s="2"/>
    </row>
    <row r="588" spans="2:4" x14ac:dyDescent="0.15">
      <c r="B588" s="2"/>
      <c r="C588" s="2"/>
      <c r="D588" s="2"/>
    </row>
    <row r="589" spans="2:4" x14ac:dyDescent="0.15">
      <c r="B589" s="2"/>
      <c r="C589" s="2"/>
      <c r="D589" s="2"/>
    </row>
    <row r="590" spans="2:4" x14ac:dyDescent="0.15">
      <c r="B590" s="2"/>
      <c r="C590" s="2"/>
      <c r="D590" s="2"/>
    </row>
    <row r="591" spans="2:4" x14ac:dyDescent="0.15">
      <c r="B591" s="2"/>
      <c r="C591" s="2"/>
      <c r="D591" s="2"/>
    </row>
    <row r="592" spans="2:4" x14ac:dyDescent="0.15">
      <c r="B592" s="2"/>
      <c r="C592" s="2"/>
      <c r="D592" s="2"/>
    </row>
    <row r="593" spans="2:4" x14ac:dyDescent="0.15">
      <c r="B593" s="2"/>
      <c r="C593" s="2"/>
      <c r="D593" s="2"/>
    </row>
    <row r="594" spans="2:4" x14ac:dyDescent="0.15">
      <c r="B594" s="2"/>
      <c r="C594" s="2"/>
      <c r="D594" s="2"/>
    </row>
    <row r="595" spans="2:4" x14ac:dyDescent="0.15">
      <c r="B595" s="2"/>
      <c r="C595" s="2"/>
      <c r="D595" s="2"/>
    </row>
    <row r="596" spans="2:4" x14ac:dyDescent="0.15">
      <c r="B596" s="2"/>
      <c r="C596" s="2"/>
      <c r="D596" s="2"/>
    </row>
    <row r="597" spans="2:4" x14ac:dyDescent="0.15">
      <c r="B597" s="2"/>
      <c r="C597" s="2"/>
      <c r="D597" s="2"/>
    </row>
    <row r="598" spans="2:4" x14ac:dyDescent="0.15">
      <c r="B598" s="2"/>
      <c r="C598" s="2"/>
      <c r="D598" s="2"/>
    </row>
    <row r="599" spans="2:4" x14ac:dyDescent="0.15">
      <c r="B599" s="2"/>
      <c r="C599" s="2"/>
      <c r="D599" s="2"/>
    </row>
    <row r="600" spans="2:4" x14ac:dyDescent="0.15">
      <c r="B600" s="2"/>
      <c r="C600" s="2"/>
      <c r="D600" s="2"/>
    </row>
    <row r="601" spans="2:4" x14ac:dyDescent="0.15">
      <c r="B601" s="2"/>
      <c r="C601" s="2"/>
      <c r="D601" s="2"/>
    </row>
    <row r="602" spans="2:4" x14ac:dyDescent="0.15">
      <c r="B602" s="2"/>
      <c r="C602" s="2"/>
      <c r="D602" s="2"/>
    </row>
    <row r="603" spans="2:4" x14ac:dyDescent="0.15">
      <c r="B603" s="2"/>
      <c r="C603" s="2"/>
      <c r="D603" s="2"/>
    </row>
    <row r="604" spans="2:4" x14ac:dyDescent="0.15">
      <c r="B604" s="2"/>
      <c r="C604" s="2"/>
      <c r="D604" s="2"/>
    </row>
    <row r="605" spans="2:4" x14ac:dyDescent="0.15">
      <c r="B605" s="2"/>
      <c r="C605" s="2"/>
      <c r="D605" s="2"/>
    </row>
    <row r="606" spans="2:4" x14ac:dyDescent="0.15">
      <c r="B606" s="2"/>
      <c r="C606" s="2"/>
      <c r="D606" s="2"/>
    </row>
    <row r="607" spans="2:4" x14ac:dyDescent="0.15">
      <c r="B607" s="2"/>
      <c r="C607" s="2"/>
      <c r="D607" s="2"/>
    </row>
    <row r="608" spans="2:4" x14ac:dyDescent="0.15">
      <c r="B608" s="2"/>
      <c r="C608" s="2"/>
      <c r="D608" s="2"/>
    </row>
    <row r="609" spans="2:4" x14ac:dyDescent="0.15">
      <c r="B609" s="2"/>
      <c r="C609" s="2"/>
      <c r="D609" s="2"/>
    </row>
    <row r="610" spans="2:4" x14ac:dyDescent="0.15">
      <c r="B610" s="2"/>
      <c r="C610" s="2"/>
      <c r="D610" s="2"/>
    </row>
    <row r="611" spans="2:4" x14ac:dyDescent="0.15">
      <c r="B611" s="2"/>
      <c r="C611" s="2"/>
      <c r="D611" s="2"/>
    </row>
    <row r="612" spans="2:4" x14ac:dyDescent="0.15">
      <c r="B612" s="2"/>
      <c r="C612" s="2"/>
      <c r="D612" s="2"/>
    </row>
    <row r="613" spans="2:4" x14ac:dyDescent="0.15">
      <c r="B613" s="2"/>
      <c r="C613" s="2"/>
      <c r="D613" s="2"/>
    </row>
    <row r="614" spans="2:4" x14ac:dyDescent="0.15">
      <c r="B614" s="2"/>
      <c r="C614" s="2"/>
      <c r="D614" s="2"/>
    </row>
    <row r="615" spans="2:4" x14ac:dyDescent="0.15">
      <c r="B615" s="2"/>
      <c r="C615" s="2"/>
      <c r="D615" s="2"/>
    </row>
    <row r="616" spans="2:4" x14ac:dyDescent="0.15">
      <c r="B616" s="2"/>
      <c r="C616" s="2"/>
      <c r="D616" s="2"/>
    </row>
    <row r="617" spans="2:4" x14ac:dyDescent="0.15">
      <c r="B617" s="2"/>
      <c r="C617" s="2"/>
      <c r="D617" s="2"/>
    </row>
    <row r="618" spans="2:4" x14ac:dyDescent="0.15">
      <c r="B618" s="2"/>
      <c r="C618" s="2"/>
      <c r="D618" s="2"/>
    </row>
    <row r="619" spans="2:4" x14ac:dyDescent="0.15">
      <c r="B619" s="2"/>
      <c r="C619" s="2"/>
      <c r="D619" s="2"/>
    </row>
    <row r="620" spans="2:4" x14ac:dyDescent="0.15">
      <c r="B620" s="2"/>
      <c r="C620" s="2"/>
      <c r="D620" s="2"/>
    </row>
    <row r="621" spans="2:4" x14ac:dyDescent="0.15">
      <c r="B621" s="2"/>
      <c r="C621" s="2"/>
      <c r="D621" s="2"/>
    </row>
    <row r="622" spans="2:4" x14ac:dyDescent="0.15">
      <c r="B622" s="2"/>
      <c r="C622" s="2"/>
      <c r="D622" s="2"/>
    </row>
    <row r="623" spans="2:4" x14ac:dyDescent="0.15">
      <c r="B623" s="2"/>
      <c r="C623" s="2"/>
      <c r="D623" s="2"/>
    </row>
    <row r="624" spans="2:4" x14ac:dyDescent="0.15">
      <c r="B624" s="2"/>
      <c r="C624" s="2"/>
      <c r="D624" s="2"/>
    </row>
    <row r="625" spans="2:4" x14ac:dyDescent="0.15">
      <c r="B625" s="2"/>
      <c r="C625" s="2"/>
      <c r="D625" s="2"/>
    </row>
    <row r="626" spans="2:4" x14ac:dyDescent="0.15">
      <c r="B626" s="2"/>
      <c r="C626" s="2"/>
      <c r="D626" s="2"/>
    </row>
    <row r="627" spans="2:4" x14ac:dyDescent="0.15">
      <c r="B627" s="2"/>
      <c r="C627" s="2"/>
      <c r="D627" s="2"/>
    </row>
    <row r="628" spans="2:4" x14ac:dyDescent="0.15">
      <c r="B628" s="2"/>
      <c r="C628" s="2"/>
      <c r="D628" s="2"/>
    </row>
    <row r="629" spans="2:4" x14ac:dyDescent="0.15">
      <c r="B629" s="2"/>
      <c r="C629" s="2"/>
      <c r="D629" s="2"/>
    </row>
    <row r="630" spans="2:4" x14ac:dyDescent="0.15">
      <c r="B630" s="2"/>
      <c r="C630" s="2"/>
      <c r="D630" s="2"/>
    </row>
    <row r="631" spans="2:4" x14ac:dyDescent="0.15">
      <c r="B631" s="2"/>
      <c r="C631" s="2"/>
      <c r="D631" s="2"/>
    </row>
    <row r="632" spans="2:4" x14ac:dyDescent="0.15">
      <c r="B632" s="2"/>
      <c r="C632" s="2"/>
      <c r="D632" s="2"/>
    </row>
    <row r="633" spans="2:4" x14ac:dyDescent="0.15">
      <c r="B633" s="2"/>
      <c r="C633" s="2"/>
      <c r="D633" s="2"/>
    </row>
    <row r="634" spans="2:4" x14ac:dyDescent="0.15">
      <c r="B634" s="2"/>
      <c r="C634" s="2"/>
      <c r="D634" s="2"/>
    </row>
    <row r="635" spans="2:4" x14ac:dyDescent="0.15">
      <c r="B635" s="2"/>
      <c r="C635" s="2"/>
      <c r="D635" s="2"/>
    </row>
    <row r="636" spans="2:4" x14ac:dyDescent="0.15">
      <c r="B636" s="2"/>
      <c r="C636" s="2"/>
      <c r="D636" s="2"/>
    </row>
    <row r="637" spans="2:4" x14ac:dyDescent="0.15">
      <c r="B637" s="2"/>
      <c r="C637" s="2"/>
      <c r="D637" s="2"/>
    </row>
    <row r="638" spans="2:4" x14ac:dyDescent="0.15">
      <c r="B638" s="2"/>
      <c r="C638" s="2"/>
      <c r="D638" s="2"/>
    </row>
    <row r="639" spans="2:4" x14ac:dyDescent="0.15">
      <c r="B639" s="2"/>
      <c r="C639" s="2"/>
      <c r="D639" s="2"/>
    </row>
    <row r="640" spans="2:4" x14ac:dyDescent="0.15">
      <c r="B640" s="2"/>
      <c r="C640" s="2"/>
      <c r="D640" s="2"/>
    </row>
    <row r="641" spans="2:4" x14ac:dyDescent="0.15">
      <c r="B641" s="2"/>
      <c r="C641" s="2"/>
      <c r="D641" s="2"/>
    </row>
    <row r="642" spans="2:4" x14ac:dyDescent="0.15">
      <c r="B642" s="2"/>
      <c r="C642" s="2"/>
      <c r="D642" s="2"/>
    </row>
    <row r="643" spans="2:4" x14ac:dyDescent="0.15">
      <c r="B643" s="2"/>
      <c r="C643" s="2"/>
      <c r="D643" s="2"/>
    </row>
    <row r="644" spans="2:4" x14ac:dyDescent="0.15">
      <c r="B644" s="2"/>
      <c r="C644" s="2"/>
      <c r="D644" s="2"/>
    </row>
    <row r="645" spans="2:4" x14ac:dyDescent="0.15">
      <c r="B645" s="2"/>
      <c r="C645" s="2"/>
      <c r="D645" s="2"/>
    </row>
    <row r="646" spans="2:4" x14ac:dyDescent="0.15">
      <c r="B646" s="2"/>
      <c r="C646" s="2"/>
      <c r="D646" s="2"/>
    </row>
    <row r="647" spans="2:4" x14ac:dyDescent="0.15">
      <c r="B647" s="2"/>
      <c r="C647" s="2"/>
      <c r="D647" s="2"/>
    </row>
    <row r="648" spans="2:4" x14ac:dyDescent="0.15">
      <c r="B648" s="2"/>
      <c r="C648" s="2"/>
      <c r="D648" s="2"/>
    </row>
    <row r="649" spans="2:4" x14ac:dyDescent="0.15">
      <c r="B649" s="2"/>
      <c r="C649" s="2"/>
      <c r="D649" s="2"/>
    </row>
    <row r="650" spans="2:4" x14ac:dyDescent="0.15">
      <c r="B650" s="2"/>
      <c r="C650" s="2"/>
      <c r="D650" s="2"/>
    </row>
    <row r="651" spans="2:4" x14ac:dyDescent="0.15">
      <c r="B651" s="2"/>
      <c r="C651" s="2"/>
      <c r="D651" s="2"/>
    </row>
    <row r="652" spans="2:4" x14ac:dyDescent="0.15">
      <c r="B652" s="2"/>
      <c r="C652" s="2"/>
      <c r="D652" s="2"/>
    </row>
    <row r="653" spans="2:4" x14ac:dyDescent="0.15">
      <c r="B653" s="2"/>
      <c r="C653" s="2"/>
      <c r="D653" s="2"/>
    </row>
    <row r="654" spans="2:4" x14ac:dyDescent="0.15">
      <c r="B654" s="2"/>
      <c r="C654" s="2"/>
      <c r="D654" s="2"/>
    </row>
    <row r="655" spans="2:4" x14ac:dyDescent="0.15">
      <c r="B655" s="2"/>
      <c r="C655" s="2"/>
      <c r="D655" s="2"/>
    </row>
    <row r="656" spans="2:4" x14ac:dyDescent="0.15">
      <c r="B656" s="2"/>
      <c r="C656" s="2"/>
      <c r="D656" s="2"/>
    </row>
    <row r="657" spans="2:4" x14ac:dyDescent="0.15">
      <c r="B657" s="2"/>
      <c r="C657" s="2"/>
      <c r="D657" s="2"/>
    </row>
    <row r="658" spans="2:4" x14ac:dyDescent="0.15">
      <c r="B658" s="2"/>
      <c r="C658" s="2"/>
      <c r="D658" s="2"/>
    </row>
    <row r="659" spans="2:4" x14ac:dyDescent="0.15">
      <c r="B659" s="2"/>
      <c r="C659" s="2"/>
      <c r="D659" s="2"/>
    </row>
    <row r="660" spans="2:4" x14ac:dyDescent="0.15">
      <c r="B660" s="2"/>
      <c r="C660" s="2"/>
      <c r="D660" s="2"/>
    </row>
    <row r="661" spans="2:4" x14ac:dyDescent="0.15">
      <c r="B661" s="2"/>
      <c r="C661" s="2"/>
      <c r="D661" s="2"/>
    </row>
    <row r="662" spans="2:4" x14ac:dyDescent="0.15">
      <c r="B662" s="2"/>
      <c r="C662" s="2"/>
      <c r="D662" s="2"/>
    </row>
    <row r="663" spans="2:4" x14ac:dyDescent="0.15">
      <c r="B663" s="2"/>
      <c r="C663" s="2"/>
      <c r="D663" s="2"/>
    </row>
    <row r="664" spans="2:4" x14ac:dyDescent="0.15">
      <c r="B664" s="2"/>
      <c r="C664" s="2"/>
      <c r="D664" s="2"/>
    </row>
    <row r="665" spans="2:4" x14ac:dyDescent="0.15">
      <c r="B665" s="2"/>
      <c r="C665" s="2"/>
      <c r="D665" s="2"/>
    </row>
    <row r="666" spans="2:4" x14ac:dyDescent="0.15">
      <c r="B666" s="2"/>
      <c r="C666" s="2"/>
      <c r="D666" s="2"/>
    </row>
    <row r="667" spans="2:4" x14ac:dyDescent="0.15">
      <c r="B667" s="2"/>
      <c r="C667" s="2"/>
      <c r="D667" s="2"/>
    </row>
    <row r="668" spans="2:4" x14ac:dyDescent="0.15">
      <c r="B668" s="2"/>
      <c r="C668" s="2"/>
      <c r="D668" s="2"/>
    </row>
    <row r="669" spans="2:4" x14ac:dyDescent="0.15">
      <c r="B669" s="2"/>
      <c r="C669" s="2"/>
      <c r="D669" s="2"/>
    </row>
    <row r="670" spans="2:4" x14ac:dyDescent="0.15">
      <c r="B670" s="2"/>
      <c r="C670" s="2"/>
      <c r="D670" s="2"/>
    </row>
    <row r="671" spans="2:4" x14ac:dyDescent="0.15">
      <c r="B671" s="2"/>
      <c r="C671" s="2"/>
      <c r="D671" s="2"/>
    </row>
    <row r="672" spans="2:4" x14ac:dyDescent="0.15">
      <c r="B672" s="2"/>
      <c r="C672" s="2"/>
      <c r="D672" s="2"/>
    </row>
    <row r="673" spans="2:4" x14ac:dyDescent="0.15">
      <c r="B673" s="2"/>
      <c r="C673" s="2"/>
      <c r="D673" s="2"/>
    </row>
    <row r="674" spans="2:4" x14ac:dyDescent="0.15">
      <c r="B674" s="2"/>
      <c r="C674" s="2"/>
      <c r="D674" s="2"/>
    </row>
    <row r="675" spans="2:4" x14ac:dyDescent="0.15">
      <c r="B675" s="2"/>
      <c r="C675" s="2"/>
      <c r="D675" s="2"/>
    </row>
    <row r="676" spans="2:4" x14ac:dyDescent="0.15">
      <c r="B676" s="2"/>
      <c r="C676" s="2"/>
      <c r="D676" s="2"/>
    </row>
    <row r="677" spans="2:4" x14ac:dyDescent="0.15">
      <c r="B677" s="2"/>
      <c r="C677" s="2"/>
      <c r="D677" s="2"/>
    </row>
    <row r="678" spans="2:4" x14ac:dyDescent="0.15">
      <c r="B678" s="2"/>
      <c r="C678" s="2"/>
      <c r="D678" s="2"/>
    </row>
    <row r="679" spans="2:4" x14ac:dyDescent="0.15">
      <c r="B679" s="2"/>
      <c r="C679" s="2"/>
      <c r="D679" s="2"/>
    </row>
    <row r="680" spans="2:4" x14ac:dyDescent="0.15">
      <c r="B680" s="2"/>
      <c r="C680" s="2"/>
      <c r="D680" s="2"/>
    </row>
    <row r="681" spans="2:4" x14ac:dyDescent="0.15">
      <c r="B681" s="2"/>
      <c r="C681" s="2"/>
      <c r="D681" s="2"/>
    </row>
    <row r="682" spans="2:4" x14ac:dyDescent="0.15">
      <c r="B682" s="2"/>
      <c r="C682" s="2"/>
      <c r="D682" s="2"/>
    </row>
    <row r="683" spans="2:4" x14ac:dyDescent="0.15">
      <c r="B683" s="2"/>
      <c r="C683" s="2"/>
      <c r="D683" s="2"/>
    </row>
    <row r="684" spans="2:4" x14ac:dyDescent="0.15">
      <c r="B684" s="2"/>
      <c r="C684" s="2"/>
      <c r="D684" s="2"/>
    </row>
    <row r="685" spans="2:4" x14ac:dyDescent="0.15">
      <c r="B685" s="2"/>
      <c r="C685" s="2"/>
      <c r="D685" s="2"/>
    </row>
    <row r="686" spans="2:4" x14ac:dyDescent="0.15">
      <c r="B686" s="2"/>
      <c r="C686" s="2"/>
      <c r="D686" s="2"/>
    </row>
    <row r="687" spans="2:4" x14ac:dyDescent="0.15">
      <c r="B687" s="2"/>
      <c r="C687" s="2"/>
      <c r="D687" s="2"/>
    </row>
    <row r="688" spans="2:4" x14ac:dyDescent="0.15">
      <c r="B688" s="2"/>
      <c r="C688" s="2"/>
      <c r="D688" s="2"/>
    </row>
    <row r="689" spans="2:4" x14ac:dyDescent="0.15">
      <c r="B689" s="2"/>
      <c r="C689" s="2"/>
      <c r="D689" s="2"/>
    </row>
    <row r="690" spans="2:4" x14ac:dyDescent="0.15">
      <c r="B690" s="2"/>
      <c r="C690" s="2"/>
      <c r="D690" s="2"/>
    </row>
    <row r="691" spans="2:4" x14ac:dyDescent="0.15">
      <c r="B691" s="2"/>
      <c r="C691" s="2"/>
      <c r="D691" s="2"/>
    </row>
    <row r="692" spans="2:4" x14ac:dyDescent="0.15">
      <c r="B692" s="2"/>
      <c r="C692" s="2"/>
      <c r="D692" s="2"/>
    </row>
    <row r="693" spans="2:4" x14ac:dyDescent="0.15">
      <c r="B693" s="2"/>
      <c r="C693" s="2"/>
      <c r="D693" s="2"/>
    </row>
    <row r="694" spans="2:4" x14ac:dyDescent="0.15">
      <c r="B694" s="2"/>
      <c r="C694" s="2"/>
      <c r="D694" s="2"/>
    </row>
    <row r="695" spans="2:4" x14ac:dyDescent="0.15">
      <c r="B695" s="2"/>
      <c r="C695" s="2"/>
      <c r="D695" s="2"/>
    </row>
    <row r="696" spans="2:4" x14ac:dyDescent="0.15">
      <c r="B696" s="2"/>
      <c r="C696" s="2"/>
      <c r="D696" s="2"/>
    </row>
    <row r="697" spans="2:4" x14ac:dyDescent="0.15">
      <c r="B697" s="2"/>
      <c r="C697" s="2"/>
      <c r="D697" s="2"/>
    </row>
    <row r="698" spans="2:4" x14ac:dyDescent="0.15">
      <c r="B698" s="2"/>
      <c r="C698" s="2"/>
      <c r="D698" s="2"/>
    </row>
    <row r="699" spans="2:4" x14ac:dyDescent="0.15">
      <c r="B699" s="2"/>
      <c r="C699" s="2"/>
      <c r="D699" s="2"/>
    </row>
    <row r="700" spans="2:4" x14ac:dyDescent="0.15">
      <c r="B700" s="2"/>
      <c r="C700" s="2"/>
      <c r="D700" s="2"/>
    </row>
    <row r="701" spans="2:4" x14ac:dyDescent="0.15">
      <c r="B701" s="2"/>
      <c r="C701" s="2"/>
      <c r="D701" s="2"/>
    </row>
    <row r="702" spans="2:4" x14ac:dyDescent="0.15">
      <c r="B702" s="2"/>
      <c r="C702" s="2"/>
      <c r="D702" s="2"/>
    </row>
    <row r="703" spans="2:4" x14ac:dyDescent="0.15">
      <c r="B703" s="2"/>
      <c r="C703" s="2"/>
      <c r="D703" s="2"/>
    </row>
    <row r="704" spans="2:4" x14ac:dyDescent="0.15">
      <c r="B704" s="2"/>
      <c r="C704" s="2"/>
      <c r="D704" s="2"/>
    </row>
    <row r="705" spans="2:4" x14ac:dyDescent="0.15">
      <c r="B705" s="2"/>
      <c r="C705" s="2"/>
      <c r="D705" s="2"/>
    </row>
    <row r="706" spans="2:4" x14ac:dyDescent="0.15">
      <c r="B706" s="2"/>
      <c r="C706" s="2"/>
      <c r="D706" s="2"/>
    </row>
    <row r="707" spans="2:4" x14ac:dyDescent="0.15">
      <c r="B707" s="2"/>
      <c r="C707" s="2"/>
      <c r="D707" s="2"/>
    </row>
    <row r="708" spans="2:4" x14ac:dyDescent="0.15">
      <c r="B708" s="2"/>
      <c r="C708" s="2"/>
      <c r="D708" s="2"/>
    </row>
    <row r="709" spans="2:4" x14ac:dyDescent="0.15">
      <c r="B709" s="2"/>
      <c r="C709" s="2"/>
      <c r="D709" s="2"/>
    </row>
    <row r="710" spans="2:4" x14ac:dyDescent="0.15">
      <c r="B710" s="2"/>
      <c r="C710" s="2"/>
      <c r="D710" s="2"/>
    </row>
    <row r="711" spans="2:4" x14ac:dyDescent="0.15">
      <c r="B711" s="2"/>
      <c r="C711" s="2"/>
      <c r="D711" s="2"/>
    </row>
    <row r="712" spans="2:4" x14ac:dyDescent="0.15">
      <c r="B712" s="2"/>
      <c r="C712" s="2"/>
      <c r="D712" s="2"/>
    </row>
    <row r="713" spans="2:4" x14ac:dyDescent="0.15">
      <c r="B713" s="2"/>
      <c r="C713" s="2"/>
      <c r="D713" s="2"/>
    </row>
    <row r="714" spans="2:4" x14ac:dyDescent="0.15">
      <c r="B714" s="2"/>
      <c r="C714" s="2"/>
      <c r="D714" s="2"/>
    </row>
    <row r="715" spans="2:4" x14ac:dyDescent="0.15">
      <c r="B715" s="2"/>
      <c r="C715" s="2"/>
      <c r="D715" s="2"/>
    </row>
    <row r="716" spans="2:4" x14ac:dyDescent="0.15">
      <c r="B716" s="2"/>
      <c r="C716" s="2"/>
      <c r="D716" s="2"/>
    </row>
    <row r="717" spans="2:4" x14ac:dyDescent="0.15">
      <c r="B717" s="2"/>
      <c r="C717" s="2"/>
      <c r="D717" s="2"/>
    </row>
    <row r="718" spans="2:4" x14ac:dyDescent="0.15">
      <c r="B718" s="2"/>
      <c r="C718" s="2"/>
      <c r="D718" s="2"/>
    </row>
    <row r="719" spans="2:4" x14ac:dyDescent="0.15">
      <c r="B719" s="2"/>
      <c r="C719" s="2"/>
      <c r="D719" s="2"/>
    </row>
    <row r="720" spans="2:4" x14ac:dyDescent="0.15">
      <c r="B720" s="2"/>
      <c r="C720" s="2"/>
      <c r="D720" s="2"/>
    </row>
    <row r="721" spans="2:4" x14ac:dyDescent="0.15">
      <c r="B721" s="2"/>
      <c r="C721" s="2"/>
      <c r="D721" s="2"/>
    </row>
    <row r="722" spans="2:4" x14ac:dyDescent="0.15">
      <c r="B722" s="2"/>
      <c r="C722" s="2"/>
      <c r="D722" s="2"/>
    </row>
    <row r="723" spans="2:4" x14ac:dyDescent="0.15">
      <c r="B723" s="2"/>
      <c r="C723" s="2"/>
      <c r="D723" s="2"/>
    </row>
    <row r="724" spans="2:4" x14ac:dyDescent="0.15">
      <c r="B724" s="2"/>
      <c r="C724" s="2"/>
      <c r="D724" s="2"/>
    </row>
    <row r="725" spans="2:4" x14ac:dyDescent="0.15">
      <c r="B725" s="2"/>
      <c r="C725" s="2"/>
      <c r="D725" s="2"/>
    </row>
    <row r="726" spans="2:4" x14ac:dyDescent="0.15">
      <c r="B726" s="2"/>
      <c r="C726" s="2"/>
      <c r="D726" s="2"/>
    </row>
    <row r="727" spans="2:4" x14ac:dyDescent="0.15">
      <c r="B727" s="2"/>
      <c r="C727" s="2"/>
      <c r="D727" s="2"/>
    </row>
    <row r="728" spans="2:4" x14ac:dyDescent="0.15">
      <c r="B728" s="2"/>
      <c r="C728" s="2"/>
      <c r="D728" s="2"/>
    </row>
    <row r="729" spans="2:4" x14ac:dyDescent="0.15">
      <c r="B729" s="2"/>
      <c r="C729" s="2"/>
      <c r="D729" s="2"/>
    </row>
    <row r="730" spans="2:4" x14ac:dyDescent="0.15">
      <c r="B730" s="2"/>
      <c r="C730" s="2"/>
      <c r="D730" s="2"/>
    </row>
    <row r="731" spans="2:4" x14ac:dyDescent="0.15">
      <c r="B731" s="2"/>
      <c r="C731" s="2"/>
      <c r="D731" s="2"/>
    </row>
    <row r="732" spans="2:4" x14ac:dyDescent="0.15">
      <c r="B732" s="2"/>
      <c r="C732" s="2"/>
      <c r="D732" s="2"/>
    </row>
    <row r="733" spans="2:4" x14ac:dyDescent="0.15">
      <c r="B733" s="2"/>
      <c r="C733" s="2"/>
      <c r="D733" s="2"/>
    </row>
    <row r="734" spans="2:4" x14ac:dyDescent="0.15">
      <c r="B734" s="2"/>
      <c r="C734" s="2"/>
      <c r="D734" s="2"/>
    </row>
    <row r="735" spans="2:4" x14ac:dyDescent="0.15">
      <c r="B735" s="2"/>
      <c r="C735" s="2"/>
      <c r="D735" s="2"/>
    </row>
    <row r="736" spans="2:4" x14ac:dyDescent="0.15">
      <c r="B736" s="2"/>
      <c r="C736" s="2"/>
      <c r="D736" s="2"/>
    </row>
    <row r="737" spans="2:4" x14ac:dyDescent="0.15">
      <c r="B737" s="2"/>
      <c r="C737" s="2"/>
      <c r="D737" s="2"/>
    </row>
    <row r="738" spans="2:4" x14ac:dyDescent="0.15">
      <c r="B738" s="2"/>
      <c r="C738" s="2"/>
      <c r="D738" s="2"/>
    </row>
    <row r="739" spans="2:4" x14ac:dyDescent="0.15">
      <c r="B739" s="2"/>
      <c r="C739" s="2"/>
      <c r="D739" s="2"/>
    </row>
    <row r="740" spans="2:4" x14ac:dyDescent="0.15">
      <c r="B740" s="2"/>
      <c r="C740" s="2"/>
      <c r="D740" s="2"/>
    </row>
    <row r="741" spans="2:4" x14ac:dyDescent="0.15">
      <c r="B741" s="2"/>
      <c r="C741" s="2"/>
      <c r="D741" s="2"/>
    </row>
    <row r="742" spans="2:4" x14ac:dyDescent="0.15">
      <c r="B742" s="2"/>
      <c r="C742" s="2"/>
      <c r="D742" s="2"/>
    </row>
    <row r="743" spans="2:4" x14ac:dyDescent="0.15">
      <c r="B743" s="2"/>
      <c r="C743" s="2"/>
      <c r="D743" s="2"/>
    </row>
    <row r="744" spans="2:4" x14ac:dyDescent="0.15">
      <c r="B744" s="2"/>
      <c r="C744" s="2"/>
      <c r="D744" s="2"/>
    </row>
    <row r="745" spans="2:4" x14ac:dyDescent="0.15">
      <c r="B745" s="2"/>
      <c r="C745" s="2"/>
      <c r="D745" s="2"/>
    </row>
    <row r="746" spans="2:4" x14ac:dyDescent="0.15">
      <c r="B746" s="2"/>
      <c r="C746" s="2"/>
      <c r="D746" s="2"/>
    </row>
    <row r="747" spans="2:4" x14ac:dyDescent="0.15">
      <c r="B747" s="2"/>
      <c r="C747" s="2"/>
      <c r="D747" s="2"/>
    </row>
    <row r="748" spans="2:4" x14ac:dyDescent="0.15">
      <c r="B748" s="2"/>
      <c r="C748" s="2"/>
      <c r="D748" s="2"/>
    </row>
    <row r="749" spans="2:4" x14ac:dyDescent="0.15">
      <c r="B749" s="2"/>
      <c r="C749" s="2"/>
      <c r="D749" s="2"/>
    </row>
    <row r="750" spans="2:4" x14ac:dyDescent="0.15">
      <c r="B750" s="2"/>
      <c r="C750" s="2"/>
      <c r="D750" s="2"/>
    </row>
    <row r="751" spans="2:4" x14ac:dyDescent="0.15">
      <c r="B751" s="2"/>
      <c r="C751" s="2"/>
      <c r="D751" s="2"/>
    </row>
    <row r="752" spans="2:4" x14ac:dyDescent="0.15">
      <c r="B752" s="2"/>
      <c r="C752" s="2"/>
      <c r="D752" s="2"/>
    </row>
    <row r="753" spans="2:4" x14ac:dyDescent="0.15">
      <c r="B753" s="2"/>
      <c r="C753" s="2"/>
      <c r="D753" s="2"/>
    </row>
    <row r="754" spans="2:4" x14ac:dyDescent="0.15">
      <c r="B754" s="2"/>
      <c r="C754" s="2"/>
      <c r="D754" s="2"/>
    </row>
    <row r="755" spans="2:4" x14ac:dyDescent="0.15">
      <c r="B755" s="2"/>
      <c r="C755" s="2"/>
      <c r="D755" s="2"/>
    </row>
    <row r="756" spans="2:4" x14ac:dyDescent="0.15">
      <c r="B756" s="2"/>
      <c r="C756" s="2"/>
      <c r="D756" s="2"/>
    </row>
    <row r="757" spans="2:4" x14ac:dyDescent="0.15">
      <c r="B757" s="2"/>
      <c r="C757" s="2"/>
      <c r="D757" s="2"/>
    </row>
    <row r="758" spans="2:4" x14ac:dyDescent="0.15">
      <c r="B758" s="2"/>
      <c r="C758" s="2"/>
      <c r="D758" s="2"/>
    </row>
    <row r="759" spans="2:4" x14ac:dyDescent="0.15">
      <c r="B759" s="2"/>
      <c r="C759" s="2"/>
      <c r="D759" s="2"/>
    </row>
    <row r="760" spans="2:4" x14ac:dyDescent="0.15">
      <c r="B760" s="2"/>
      <c r="C760" s="2"/>
      <c r="D760" s="2"/>
    </row>
    <row r="761" spans="2:4" x14ac:dyDescent="0.15">
      <c r="B761" s="2"/>
      <c r="C761" s="2"/>
      <c r="D761" s="2"/>
    </row>
    <row r="762" spans="2:4" x14ac:dyDescent="0.15">
      <c r="B762" s="2"/>
      <c r="C762" s="2"/>
      <c r="D762" s="2"/>
    </row>
    <row r="763" spans="2:4" x14ac:dyDescent="0.15">
      <c r="B763" s="2"/>
      <c r="C763" s="2"/>
      <c r="D763" s="2"/>
    </row>
    <row r="764" spans="2:4" x14ac:dyDescent="0.15">
      <c r="B764" s="2"/>
      <c r="C764" s="2"/>
      <c r="D764" s="2"/>
    </row>
    <row r="765" spans="2:4" x14ac:dyDescent="0.15">
      <c r="B765" s="2"/>
      <c r="C765" s="2"/>
      <c r="D765" s="2"/>
    </row>
    <row r="766" spans="2:4" x14ac:dyDescent="0.15">
      <c r="B766" s="2"/>
      <c r="C766" s="2"/>
      <c r="D766" s="2"/>
    </row>
    <row r="767" spans="2:4" x14ac:dyDescent="0.15">
      <c r="B767" s="2"/>
      <c r="C767" s="2"/>
      <c r="D767" s="2"/>
    </row>
    <row r="768" spans="2:4" x14ac:dyDescent="0.15">
      <c r="B768" s="2"/>
      <c r="C768" s="2"/>
      <c r="D768" s="2"/>
    </row>
    <row r="769" spans="2:4" x14ac:dyDescent="0.15">
      <c r="B769" s="2"/>
      <c r="C769" s="2"/>
      <c r="D769" s="2"/>
    </row>
    <row r="770" spans="2:4" x14ac:dyDescent="0.15">
      <c r="B770" s="2"/>
      <c r="C770" s="2"/>
      <c r="D770" s="2"/>
    </row>
    <row r="771" spans="2:4" x14ac:dyDescent="0.15">
      <c r="B771" s="2"/>
      <c r="C771" s="2"/>
      <c r="D771" s="2"/>
    </row>
    <row r="772" spans="2:4" x14ac:dyDescent="0.15">
      <c r="B772" s="2"/>
      <c r="C772" s="2"/>
      <c r="D772" s="2"/>
    </row>
    <row r="773" spans="2:4" x14ac:dyDescent="0.15">
      <c r="B773" s="2"/>
      <c r="C773" s="2"/>
      <c r="D773" s="2"/>
    </row>
    <row r="774" spans="2:4" x14ac:dyDescent="0.15">
      <c r="B774" s="2"/>
      <c r="C774" s="2"/>
      <c r="D774" s="2"/>
    </row>
    <row r="775" spans="2:4" x14ac:dyDescent="0.15">
      <c r="B775" s="2"/>
      <c r="C775" s="2"/>
      <c r="D775" s="2"/>
    </row>
    <row r="776" spans="2:4" x14ac:dyDescent="0.15">
      <c r="B776" s="2"/>
      <c r="C776" s="2"/>
      <c r="D776" s="2"/>
    </row>
    <row r="777" spans="2:4" x14ac:dyDescent="0.15">
      <c r="B777" s="2"/>
      <c r="C777" s="2"/>
      <c r="D777" s="2"/>
    </row>
    <row r="778" spans="2:4" x14ac:dyDescent="0.15">
      <c r="B778" s="2"/>
      <c r="C778" s="2"/>
      <c r="D778" s="2"/>
    </row>
    <row r="779" spans="2:4" x14ac:dyDescent="0.15">
      <c r="B779" s="2"/>
      <c r="C779" s="2"/>
      <c r="D779" s="2"/>
    </row>
    <row r="780" spans="2:4" x14ac:dyDescent="0.15">
      <c r="B780" s="2"/>
      <c r="C780" s="2"/>
      <c r="D780" s="2"/>
    </row>
    <row r="781" spans="2:4" x14ac:dyDescent="0.15">
      <c r="B781" s="2"/>
      <c r="C781" s="2"/>
      <c r="D781" s="2"/>
    </row>
    <row r="782" spans="2:4" x14ac:dyDescent="0.15">
      <c r="B782" s="2"/>
      <c r="C782" s="2"/>
      <c r="D782" s="2"/>
    </row>
    <row r="783" spans="2:4" x14ac:dyDescent="0.15">
      <c r="B783" s="2"/>
      <c r="C783" s="2"/>
      <c r="D783" s="2"/>
    </row>
    <row r="784" spans="2:4" x14ac:dyDescent="0.15">
      <c r="B784" s="2"/>
      <c r="C784" s="2"/>
      <c r="D784" s="2"/>
    </row>
    <row r="785" spans="2:4" x14ac:dyDescent="0.15">
      <c r="B785" s="2"/>
      <c r="C785" s="2"/>
      <c r="D785" s="2"/>
    </row>
    <row r="786" spans="2:4" x14ac:dyDescent="0.15">
      <c r="B786" s="2"/>
      <c r="C786" s="2"/>
      <c r="D786" s="2"/>
    </row>
    <row r="787" spans="2:4" x14ac:dyDescent="0.15">
      <c r="B787" s="2"/>
      <c r="C787" s="2"/>
      <c r="D787" s="2"/>
    </row>
    <row r="788" spans="2:4" x14ac:dyDescent="0.15">
      <c r="B788" s="2"/>
      <c r="C788" s="2"/>
      <c r="D788" s="2"/>
    </row>
    <row r="789" spans="2:4" x14ac:dyDescent="0.15">
      <c r="B789" s="2"/>
      <c r="C789" s="2"/>
      <c r="D789" s="2"/>
    </row>
    <row r="790" spans="2:4" x14ac:dyDescent="0.15">
      <c r="B790" s="2"/>
      <c r="C790" s="2"/>
      <c r="D790" s="2"/>
    </row>
    <row r="791" spans="2:4" x14ac:dyDescent="0.15">
      <c r="B791" s="2"/>
      <c r="C791" s="2"/>
      <c r="D791" s="2"/>
    </row>
    <row r="792" spans="2:4" x14ac:dyDescent="0.15">
      <c r="B792" s="2"/>
      <c r="C792" s="2"/>
      <c r="D792" s="2"/>
    </row>
    <row r="793" spans="2:4" x14ac:dyDescent="0.15">
      <c r="B793" s="2"/>
      <c r="C793" s="2"/>
      <c r="D793" s="2"/>
    </row>
    <row r="794" spans="2:4" x14ac:dyDescent="0.15">
      <c r="B794" s="2"/>
      <c r="C794" s="2"/>
      <c r="D794" s="2"/>
    </row>
    <row r="795" spans="2:4" x14ac:dyDescent="0.15">
      <c r="B795" s="2"/>
      <c r="C795" s="2"/>
      <c r="D795" s="2"/>
    </row>
    <row r="796" spans="2:4" x14ac:dyDescent="0.15">
      <c r="B796" s="2"/>
      <c r="C796" s="2"/>
      <c r="D796" s="2"/>
    </row>
    <row r="797" spans="2:4" x14ac:dyDescent="0.15">
      <c r="B797" s="2"/>
      <c r="C797" s="2"/>
      <c r="D797" s="2"/>
    </row>
    <row r="798" spans="2:4" x14ac:dyDescent="0.15">
      <c r="B798" s="2"/>
      <c r="C798" s="2"/>
      <c r="D798" s="2"/>
    </row>
    <row r="799" spans="2:4" x14ac:dyDescent="0.15">
      <c r="B799" s="2"/>
      <c r="C799" s="2"/>
      <c r="D799" s="2"/>
    </row>
    <row r="800" spans="2:4" x14ac:dyDescent="0.15">
      <c r="B800" s="2"/>
      <c r="C800" s="2"/>
      <c r="D800" s="2"/>
    </row>
    <row r="801" spans="2:4" x14ac:dyDescent="0.15">
      <c r="B801" s="2"/>
      <c r="C801" s="2"/>
      <c r="D801" s="2"/>
    </row>
    <row r="802" spans="2:4" x14ac:dyDescent="0.15">
      <c r="B802" s="2"/>
      <c r="C802" s="2"/>
      <c r="D802" s="2"/>
    </row>
    <row r="803" spans="2:4" x14ac:dyDescent="0.15">
      <c r="B803" s="2"/>
      <c r="C803" s="2"/>
      <c r="D803" s="2"/>
    </row>
    <row r="804" spans="2:4" x14ac:dyDescent="0.15">
      <c r="B804" s="2"/>
      <c r="C804" s="2"/>
      <c r="D804" s="2"/>
    </row>
    <row r="805" spans="2:4" x14ac:dyDescent="0.15">
      <c r="B805" s="2"/>
      <c r="C805" s="2"/>
      <c r="D805" s="2"/>
    </row>
    <row r="806" spans="2:4" x14ac:dyDescent="0.15">
      <c r="B806" s="2"/>
      <c r="C806" s="2"/>
      <c r="D806" s="2"/>
    </row>
    <row r="807" spans="2:4" x14ac:dyDescent="0.15">
      <c r="B807" s="2"/>
      <c r="C807" s="2"/>
      <c r="D807" s="2"/>
    </row>
    <row r="808" spans="2:4" x14ac:dyDescent="0.15">
      <c r="B808" s="2"/>
      <c r="C808" s="2"/>
      <c r="D808" s="2"/>
    </row>
    <row r="809" spans="2:4" x14ac:dyDescent="0.15">
      <c r="B809" s="2"/>
      <c r="C809" s="2"/>
      <c r="D809" s="2"/>
    </row>
    <row r="810" spans="2:4" x14ac:dyDescent="0.15">
      <c r="B810" s="2"/>
      <c r="C810" s="2"/>
      <c r="D810" s="2"/>
    </row>
    <row r="811" spans="2:4" x14ac:dyDescent="0.15">
      <c r="B811" s="2"/>
      <c r="C811" s="2"/>
      <c r="D811" s="2"/>
    </row>
    <row r="812" spans="2:4" x14ac:dyDescent="0.15">
      <c r="B812" s="2"/>
      <c r="C812" s="2"/>
      <c r="D812" s="2"/>
    </row>
    <row r="813" spans="2:4" x14ac:dyDescent="0.15">
      <c r="B813" s="2"/>
      <c r="C813" s="2"/>
      <c r="D813" s="2"/>
    </row>
    <row r="814" spans="2:4" x14ac:dyDescent="0.15">
      <c r="B814" s="2"/>
      <c r="C814" s="2"/>
      <c r="D814" s="2"/>
    </row>
    <row r="815" spans="2:4" x14ac:dyDescent="0.15">
      <c r="B815" s="2"/>
      <c r="C815" s="2"/>
      <c r="D815" s="2"/>
    </row>
    <row r="816" spans="2:4" x14ac:dyDescent="0.15">
      <c r="B816" s="2"/>
      <c r="C816" s="2"/>
      <c r="D816" s="2"/>
    </row>
    <row r="817" spans="2:4" x14ac:dyDescent="0.15">
      <c r="B817" s="2"/>
      <c r="C817" s="2"/>
      <c r="D817" s="2"/>
    </row>
    <row r="818" spans="2:4" x14ac:dyDescent="0.15">
      <c r="B818" s="2"/>
      <c r="C818" s="2"/>
      <c r="D818" s="2"/>
    </row>
    <row r="819" spans="2:4" x14ac:dyDescent="0.15">
      <c r="B819" s="2"/>
      <c r="C819" s="2"/>
      <c r="D819" s="2"/>
    </row>
    <row r="820" spans="2:4" x14ac:dyDescent="0.15">
      <c r="B820" s="2"/>
      <c r="C820" s="2"/>
      <c r="D820" s="2"/>
    </row>
    <row r="821" spans="2:4" x14ac:dyDescent="0.15">
      <c r="B821" s="2"/>
      <c r="C821" s="2"/>
      <c r="D821" s="2"/>
    </row>
    <row r="822" spans="2:4" x14ac:dyDescent="0.15">
      <c r="B822" s="2"/>
      <c r="C822" s="2"/>
      <c r="D822" s="2"/>
    </row>
    <row r="823" spans="2:4" x14ac:dyDescent="0.15">
      <c r="B823" s="2"/>
      <c r="C823" s="2"/>
      <c r="D823" s="2"/>
    </row>
    <row r="824" spans="2:4" x14ac:dyDescent="0.15">
      <c r="B824" s="2"/>
      <c r="C824" s="2"/>
      <c r="D824" s="2"/>
    </row>
    <row r="825" spans="2:4" x14ac:dyDescent="0.15">
      <c r="B825" s="2"/>
      <c r="C825" s="2"/>
      <c r="D825" s="2"/>
    </row>
    <row r="826" spans="2:4" x14ac:dyDescent="0.15">
      <c r="B826" s="2"/>
      <c r="C826" s="2"/>
      <c r="D826" s="2"/>
    </row>
    <row r="827" spans="2:4" x14ac:dyDescent="0.15">
      <c r="B827" s="2"/>
      <c r="C827" s="2"/>
      <c r="D827" s="2"/>
    </row>
    <row r="828" spans="2:4" x14ac:dyDescent="0.15">
      <c r="B828" s="2"/>
      <c r="C828" s="2"/>
      <c r="D828" s="2"/>
    </row>
    <row r="829" spans="2:4" x14ac:dyDescent="0.15">
      <c r="B829" s="2"/>
      <c r="C829" s="2"/>
      <c r="D829" s="2"/>
    </row>
    <row r="830" spans="2:4" x14ac:dyDescent="0.15">
      <c r="B830" s="2"/>
      <c r="C830" s="2"/>
      <c r="D830" s="2"/>
    </row>
    <row r="831" spans="2:4" x14ac:dyDescent="0.15">
      <c r="B831" s="2"/>
      <c r="C831" s="2"/>
      <c r="D831" s="2"/>
    </row>
    <row r="832" spans="2:4" x14ac:dyDescent="0.15">
      <c r="B832" s="2"/>
      <c r="C832" s="2"/>
      <c r="D832" s="2"/>
    </row>
    <row r="833" spans="2:4" x14ac:dyDescent="0.15">
      <c r="B833" s="2"/>
      <c r="C833" s="2"/>
      <c r="D833" s="2"/>
    </row>
    <row r="834" spans="2:4" x14ac:dyDescent="0.15">
      <c r="B834" s="2"/>
      <c r="C834" s="2"/>
      <c r="D834" s="2"/>
    </row>
    <row r="835" spans="2:4" x14ac:dyDescent="0.15">
      <c r="B835" s="2"/>
      <c r="C835" s="2"/>
      <c r="D835" s="2"/>
    </row>
    <row r="836" spans="2:4" x14ac:dyDescent="0.15">
      <c r="B836" s="2"/>
      <c r="C836" s="2"/>
      <c r="D836" s="2"/>
    </row>
    <row r="837" spans="2:4" x14ac:dyDescent="0.15">
      <c r="B837" s="2"/>
      <c r="C837" s="2"/>
      <c r="D837" s="2"/>
    </row>
    <row r="838" spans="2:4" x14ac:dyDescent="0.15">
      <c r="B838" s="2"/>
      <c r="C838" s="2"/>
      <c r="D838" s="2"/>
    </row>
    <row r="839" spans="2:4" x14ac:dyDescent="0.15">
      <c r="B839" s="2"/>
      <c r="C839" s="2"/>
      <c r="D839" s="2"/>
    </row>
    <row r="840" spans="2:4" x14ac:dyDescent="0.15">
      <c r="B840" s="2"/>
      <c r="C840" s="2"/>
      <c r="D840" s="2"/>
    </row>
    <row r="841" spans="2:4" x14ac:dyDescent="0.15">
      <c r="B841" s="2"/>
      <c r="C841" s="2"/>
      <c r="D841" s="2"/>
    </row>
    <row r="842" spans="2:4" x14ac:dyDescent="0.15">
      <c r="B842" s="2"/>
      <c r="C842" s="2"/>
      <c r="D842" s="2"/>
    </row>
    <row r="843" spans="2:4" x14ac:dyDescent="0.15">
      <c r="B843" s="2"/>
      <c r="C843" s="2"/>
      <c r="D843" s="2"/>
    </row>
    <row r="844" spans="2:4" x14ac:dyDescent="0.15">
      <c r="B844" s="2"/>
      <c r="C844" s="2"/>
      <c r="D844" s="2"/>
    </row>
    <row r="845" spans="2:4" x14ac:dyDescent="0.15">
      <c r="B845" s="2"/>
      <c r="C845" s="2"/>
      <c r="D845" s="2"/>
    </row>
    <row r="846" spans="2:4" x14ac:dyDescent="0.15">
      <c r="B846" s="2"/>
      <c r="C846" s="2"/>
      <c r="D846" s="2"/>
    </row>
    <row r="847" spans="2:4" x14ac:dyDescent="0.15">
      <c r="B847" s="2"/>
      <c r="C847" s="2"/>
      <c r="D847" s="2"/>
    </row>
    <row r="848" spans="2:4" x14ac:dyDescent="0.15">
      <c r="B848" s="2"/>
      <c r="C848" s="2"/>
      <c r="D848" s="2"/>
    </row>
    <row r="849" spans="2:4" x14ac:dyDescent="0.15">
      <c r="B849" s="2"/>
      <c r="C849" s="2"/>
      <c r="D849" s="2"/>
    </row>
    <row r="850" spans="2:4" x14ac:dyDescent="0.15">
      <c r="B850" s="2"/>
      <c r="C850" s="2"/>
      <c r="D850" s="2"/>
    </row>
    <row r="851" spans="2:4" x14ac:dyDescent="0.15">
      <c r="B851" s="2"/>
      <c r="C851" s="2"/>
      <c r="D851" s="2"/>
    </row>
    <row r="852" spans="2:4" x14ac:dyDescent="0.15">
      <c r="B852" s="2"/>
      <c r="C852" s="2"/>
      <c r="D852" s="2"/>
    </row>
    <row r="853" spans="2:4" x14ac:dyDescent="0.15">
      <c r="B853" s="2"/>
      <c r="C853" s="2"/>
      <c r="D853" s="2"/>
    </row>
    <row r="854" spans="2:4" x14ac:dyDescent="0.15">
      <c r="B854" s="2"/>
      <c r="C854" s="2"/>
      <c r="D854" s="2"/>
    </row>
    <row r="855" spans="2:4" x14ac:dyDescent="0.15">
      <c r="B855" s="2"/>
      <c r="C855" s="2"/>
      <c r="D855" s="2"/>
    </row>
    <row r="856" spans="2:4" x14ac:dyDescent="0.15">
      <c r="B856" s="2"/>
      <c r="C856" s="2"/>
      <c r="D856" s="2"/>
    </row>
    <row r="857" spans="2:4" x14ac:dyDescent="0.15">
      <c r="B857" s="2"/>
      <c r="C857" s="2"/>
      <c r="D857" s="2"/>
    </row>
    <row r="858" spans="2:4" x14ac:dyDescent="0.15">
      <c r="B858" s="2"/>
      <c r="C858" s="2"/>
      <c r="D858" s="2"/>
    </row>
    <row r="859" spans="2:4" x14ac:dyDescent="0.15">
      <c r="B859" s="2"/>
      <c r="C859" s="2"/>
      <c r="D859" s="2"/>
    </row>
    <row r="860" spans="2:4" x14ac:dyDescent="0.15">
      <c r="B860" s="2"/>
      <c r="C860" s="2"/>
      <c r="D860" s="2"/>
    </row>
    <row r="861" spans="2:4" x14ac:dyDescent="0.15">
      <c r="B861" s="2"/>
      <c r="C861" s="2"/>
      <c r="D861" s="2"/>
    </row>
    <row r="862" spans="2:4" x14ac:dyDescent="0.15">
      <c r="B862" s="2"/>
      <c r="C862" s="2"/>
      <c r="D862" s="2"/>
    </row>
    <row r="863" spans="2:4" x14ac:dyDescent="0.15">
      <c r="B863" s="2"/>
      <c r="C863" s="2"/>
      <c r="D863" s="2"/>
    </row>
    <row r="864" spans="2:4" x14ac:dyDescent="0.15">
      <c r="B864" s="2"/>
      <c r="C864" s="2"/>
      <c r="D864" s="2"/>
    </row>
    <row r="865" spans="2:4" x14ac:dyDescent="0.15">
      <c r="B865" s="2"/>
      <c r="C865" s="2"/>
      <c r="D865" s="2"/>
    </row>
    <row r="866" spans="2:4" x14ac:dyDescent="0.15">
      <c r="B866" s="2"/>
      <c r="C866" s="2"/>
      <c r="D866" s="2"/>
    </row>
    <row r="867" spans="2:4" x14ac:dyDescent="0.15">
      <c r="B867" s="2"/>
      <c r="C867" s="2"/>
      <c r="D867" s="2"/>
    </row>
    <row r="868" spans="2:4" x14ac:dyDescent="0.15">
      <c r="B868" s="2"/>
      <c r="C868" s="2"/>
      <c r="D868" s="2"/>
    </row>
    <row r="869" spans="2:4" x14ac:dyDescent="0.15">
      <c r="B869" s="2"/>
      <c r="C869" s="2"/>
      <c r="D869" s="2"/>
    </row>
    <row r="870" spans="2:4" x14ac:dyDescent="0.15">
      <c r="B870" s="2"/>
      <c r="C870" s="2"/>
      <c r="D870" s="2"/>
    </row>
    <row r="871" spans="2:4" x14ac:dyDescent="0.15">
      <c r="B871" s="2"/>
      <c r="C871" s="2"/>
      <c r="D871" s="2"/>
    </row>
    <row r="872" spans="2:4" x14ac:dyDescent="0.15">
      <c r="B872" s="2"/>
      <c r="C872" s="2"/>
      <c r="D872" s="2"/>
    </row>
    <row r="873" spans="2:4" x14ac:dyDescent="0.15">
      <c r="B873" s="2"/>
      <c r="C873" s="2"/>
      <c r="D873" s="2"/>
    </row>
    <row r="874" spans="2:4" x14ac:dyDescent="0.15">
      <c r="B874" s="2"/>
      <c r="C874" s="2"/>
      <c r="D874" s="2"/>
    </row>
    <row r="875" spans="2:4" x14ac:dyDescent="0.15">
      <c r="B875" s="2"/>
      <c r="C875" s="2"/>
      <c r="D875" s="2"/>
    </row>
    <row r="876" spans="2:4" x14ac:dyDescent="0.15">
      <c r="B876" s="2"/>
      <c r="C876" s="2"/>
      <c r="D876" s="2"/>
    </row>
    <row r="877" spans="2:4" x14ac:dyDescent="0.15">
      <c r="B877" s="2"/>
      <c r="C877" s="2"/>
      <c r="D877" s="2"/>
    </row>
    <row r="878" spans="2:4" x14ac:dyDescent="0.15">
      <c r="B878" s="2"/>
      <c r="C878" s="2"/>
      <c r="D878" s="2"/>
    </row>
    <row r="879" spans="2:4" x14ac:dyDescent="0.15">
      <c r="B879" s="2"/>
      <c r="C879" s="2"/>
      <c r="D879" s="2"/>
    </row>
    <row r="880" spans="2:4" x14ac:dyDescent="0.15">
      <c r="B880" s="2"/>
      <c r="C880" s="2"/>
      <c r="D880" s="2"/>
    </row>
    <row r="881" spans="2:4" x14ac:dyDescent="0.15">
      <c r="B881" s="2"/>
      <c r="C881" s="2"/>
      <c r="D881" s="2"/>
    </row>
    <row r="882" spans="2:4" x14ac:dyDescent="0.15">
      <c r="B882" s="2"/>
      <c r="C882" s="2"/>
      <c r="D882" s="2"/>
    </row>
    <row r="883" spans="2:4" x14ac:dyDescent="0.15">
      <c r="B883" s="2"/>
      <c r="C883" s="2"/>
      <c r="D883" s="2"/>
    </row>
    <row r="884" spans="2:4" x14ac:dyDescent="0.15">
      <c r="B884" s="2"/>
      <c r="C884" s="2"/>
      <c r="D884" s="2"/>
    </row>
    <row r="885" spans="2:4" x14ac:dyDescent="0.15">
      <c r="B885" s="2"/>
      <c r="C885" s="2"/>
      <c r="D885" s="2"/>
    </row>
    <row r="886" spans="2:4" x14ac:dyDescent="0.15">
      <c r="B886" s="2"/>
      <c r="C886" s="2"/>
      <c r="D886" s="2"/>
    </row>
    <row r="887" spans="2:4" x14ac:dyDescent="0.15">
      <c r="B887" s="2"/>
      <c r="C887" s="2"/>
      <c r="D887" s="2"/>
    </row>
    <row r="888" spans="2:4" x14ac:dyDescent="0.15">
      <c r="B888" s="2"/>
      <c r="C888" s="2"/>
      <c r="D888" s="2"/>
    </row>
    <row r="889" spans="2:4" x14ac:dyDescent="0.15">
      <c r="B889" s="2"/>
      <c r="C889" s="2"/>
      <c r="D889" s="2"/>
    </row>
    <row r="890" spans="2:4" x14ac:dyDescent="0.15">
      <c r="B890" s="2"/>
      <c r="C890" s="2"/>
      <c r="D890" s="2"/>
    </row>
    <row r="891" spans="2:4" x14ac:dyDescent="0.15">
      <c r="B891" s="2"/>
      <c r="C891" s="2"/>
      <c r="D891" s="2"/>
    </row>
    <row r="892" spans="2:4" x14ac:dyDescent="0.15">
      <c r="B892" s="2"/>
      <c r="C892" s="2"/>
      <c r="D892" s="2"/>
    </row>
    <row r="893" spans="2:4" x14ac:dyDescent="0.15">
      <c r="B893" s="2"/>
      <c r="C893" s="2"/>
      <c r="D893" s="2"/>
    </row>
    <row r="894" spans="2:4" x14ac:dyDescent="0.15">
      <c r="B894" s="2"/>
      <c r="C894" s="2"/>
      <c r="D894" s="2"/>
    </row>
    <row r="895" spans="2:4" x14ac:dyDescent="0.15">
      <c r="B895" s="2"/>
      <c r="C895" s="2"/>
      <c r="D895" s="2"/>
    </row>
    <row r="896" spans="2:4" x14ac:dyDescent="0.15">
      <c r="B896" s="2"/>
      <c r="C896" s="2"/>
      <c r="D896" s="2"/>
    </row>
    <row r="897" spans="2:4" x14ac:dyDescent="0.15">
      <c r="B897" s="2"/>
      <c r="C897" s="2"/>
      <c r="D897" s="2"/>
    </row>
    <row r="898" spans="2:4" x14ac:dyDescent="0.15">
      <c r="B898" s="2"/>
      <c r="C898" s="2"/>
      <c r="D898" s="2"/>
    </row>
    <row r="899" spans="2:4" x14ac:dyDescent="0.15">
      <c r="B899" s="2"/>
      <c r="C899" s="2"/>
      <c r="D899" s="2"/>
    </row>
    <row r="900" spans="2:4" x14ac:dyDescent="0.15">
      <c r="B900" s="2"/>
      <c r="C900" s="2"/>
      <c r="D900" s="2"/>
    </row>
    <row r="901" spans="2:4" x14ac:dyDescent="0.15">
      <c r="B901" s="2"/>
      <c r="C901" s="2"/>
      <c r="D901" s="2"/>
    </row>
    <row r="902" spans="2:4" x14ac:dyDescent="0.15">
      <c r="B902" s="2"/>
      <c r="C902" s="2"/>
      <c r="D902" s="2"/>
    </row>
    <row r="903" spans="2:4" x14ac:dyDescent="0.15">
      <c r="B903" s="2"/>
      <c r="C903" s="2"/>
      <c r="D903" s="2"/>
    </row>
    <row r="904" spans="2:4" x14ac:dyDescent="0.15">
      <c r="B904" s="2"/>
      <c r="C904" s="2"/>
      <c r="D904" s="2"/>
    </row>
    <row r="905" spans="2:4" x14ac:dyDescent="0.15">
      <c r="B905" s="2"/>
      <c r="C905" s="2"/>
      <c r="D905" s="2"/>
    </row>
    <row r="906" spans="2:4" x14ac:dyDescent="0.15">
      <c r="B906" s="2"/>
      <c r="C906" s="2"/>
      <c r="D906" s="2"/>
    </row>
    <row r="907" spans="2:4" x14ac:dyDescent="0.15">
      <c r="B907" s="2"/>
      <c r="C907" s="2"/>
      <c r="D907" s="2"/>
    </row>
    <row r="908" spans="2:4" x14ac:dyDescent="0.15">
      <c r="B908" s="2"/>
      <c r="C908" s="2"/>
      <c r="D908" s="2"/>
    </row>
    <row r="909" spans="2:4" x14ac:dyDescent="0.15">
      <c r="B909" s="2"/>
      <c r="C909" s="2"/>
      <c r="D909" s="2"/>
    </row>
    <row r="910" spans="2:4" x14ac:dyDescent="0.15">
      <c r="B910" s="2"/>
      <c r="C910" s="2"/>
      <c r="D910" s="2"/>
    </row>
    <row r="911" spans="2:4" x14ac:dyDescent="0.15">
      <c r="B911" s="2"/>
      <c r="C911" s="2"/>
      <c r="D911" s="2"/>
    </row>
    <row r="912" spans="2:4" x14ac:dyDescent="0.15">
      <c r="B912" s="2"/>
      <c r="C912" s="2"/>
      <c r="D912" s="2"/>
    </row>
    <row r="913" spans="2:4" x14ac:dyDescent="0.15">
      <c r="B913" s="2"/>
      <c r="C913" s="2"/>
      <c r="D913" s="2"/>
    </row>
    <row r="914" spans="2:4" x14ac:dyDescent="0.15">
      <c r="B914" s="2"/>
      <c r="C914" s="2"/>
      <c r="D914" s="2"/>
    </row>
    <row r="915" spans="2:4" x14ac:dyDescent="0.15">
      <c r="B915" s="2"/>
      <c r="C915" s="2"/>
      <c r="D915" s="2"/>
    </row>
    <row r="916" spans="2:4" x14ac:dyDescent="0.15">
      <c r="B916" s="2"/>
      <c r="C916" s="2"/>
      <c r="D916" s="2"/>
    </row>
    <row r="917" spans="2:4" x14ac:dyDescent="0.15">
      <c r="B917" s="2"/>
      <c r="C917" s="2"/>
      <c r="D917" s="2"/>
    </row>
    <row r="918" spans="2:4" x14ac:dyDescent="0.15">
      <c r="B918" s="2"/>
      <c r="C918" s="2"/>
      <c r="D918" s="2"/>
    </row>
    <row r="919" spans="2:4" x14ac:dyDescent="0.15">
      <c r="B919" s="2"/>
      <c r="C919" s="2"/>
      <c r="D919" s="2"/>
    </row>
    <row r="920" spans="2:4" x14ac:dyDescent="0.15">
      <c r="B920" s="2"/>
      <c r="C920" s="2"/>
      <c r="D920" s="2"/>
    </row>
    <row r="921" spans="2:4" x14ac:dyDescent="0.15">
      <c r="B921" s="2"/>
      <c r="C921" s="2"/>
      <c r="D921" s="2"/>
    </row>
    <row r="922" spans="2:4" x14ac:dyDescent="0.15">
      <c r="B922" s="2"/>
      <c r="C922" s="2"/>
      <c r="D922" s="2"/>
    </row>
    <row r="923" spans="2:4" x14ac:dyDescent="0.15">
      <c r="B923" s="2"/>
      <c r="C923" s="2"/>
      <c r="D923" s="2"/>
    </row>
    <row r="924" spans="2:4" x14ac:dyDescent="0.15">
      <c r="B924" s="2"/>
      <c r="C924" s="2"/>
      <c r="D924" s="2"/>
    </row>
    <row r="925" spans="2:4" x14ac:dyDescent="0.15">
      <c r="B925" s="2"/>
      <c r="C925" s="2"/>
      <c r="D925" s="2"/>
    </row>
    <row r="926" spans="2:4" x14ac:dyDescent="0.15">
      <c r="B926" s="2"/>
      <c r="C926" s="2"/>
      <c r="D926" s="2"/>
    </row>
    <row r="927" spans="2:4" x14ac:dyDescent="0.15">
      <c r="B927" s="2"/>
      <c r="C927" s="2"/>
      <c r="D927" s="2"/>
    </row>
    <row r="928" spans="2:4" x14ac:dyDescent="0.15">
      <c r="B928" s="2"/>
      <c r="C928" s="2"/>
      <c r="D928" s="2"/>
    </row>
    <row r="929" spans="2:4" x14ac:dyDescent="0.15">
      <c r="B929" s="2"/>
      <c r="C929" s="2"/>
      <c r="D929" s="2"/>
    </row>
    <row r="930" spans="2:4" x14ac:dyDescent="0.15">
      <c r="B930" s="2"/>
      <c r="C930" s="2"/>
      <c r="D930" s="2"/>
    </row>
    <row r="931" spans="2:4" x14ac:dyDescent="0.15">
      <c r="B931" s="2"/>
      <c r="C931" s="2"/>
      <c r="D931" s="2"/>
    </row>
    <row r="932" spans="2:4" x14ac:dyDescent="0.15">
      <c r="B932" s="2"/>
      <c r="C932" s="2"/>
      <c r="D932" s="2"/>
    </row>
    <row r="933" spans="2:4" x14ac:dyDescent="0.15">
      <c r="B933" s="2"/>
      <c r="C933" s="2"/>
      <c r="D933" s="2"/>
    </row>
    <row r="934" spans="2:4" x14ac:dyDescent="0.15">
      <c r="B934" s="2"/>
      <c r="C934" s="2"/>
      <c r="D934" s="2"/>
    </row>
    <row r="935" spans="2:4" x14ac:dyDescent="0.15">
      <c r="B935" s="2"/>
      <c r="C935" s="2"/>
      <c r="D935" s="2"/>
    </row>
    <row r="936" spans="2:4" x14ac:dyDescent="0.15">
      <c r="B936" s="2"/>
      <c r="C936" s="2"/>
      <c r="D936" s="2"/>
    </row>
    <row r="937" spans="2:4" x14ac:dyDescent="0.15">
      <c r="B937" s="2"/>
      <c r="C937" s="2"/>
      <c r="D937" s="2"/>
    </row>
    <row r="938" spans="2:4" x14ac:dyDescent="0.15">
      <c r="B938" s="2"/>
      <c r="C938" s="2"/>
      <c r="D938" s="2"/>
    </row>
    <row r="939" spans="2:4" x14ac:dyDescent="0.15">
      <c r="B939" s="2"/>
      <c r="C939" s="2"/>
      <c r="D939" s="2"/>
    </row>
    <row r="940" spans="2:4" x14ac:dyDescent="0.15">
      <c r="B940" s="2"/>
      <c r="C940" s="2"/>
      <c r="D940" s="2"/>
    </row>
    <row r="941" spans="2:4" x14ac:dyDescent="0.15">
      <c r="B941" s="2"/>
      <c r="C941" s="2"/>
      <c r="D941" s="2"/>
    </row>
    <row r="942" spans="2:4" x14ac:dyDescent="0.15">
      <c r="B942" s="2"/>
      <c r="C942" s="2"/>
      <c r="D942" s="2"/>
    </row>
    <row r="943" spans="2:4" x14ac:dyDescent="0.15">
      <c r="B943" s="2"/>
      <c r="C943" s="2"/>
      <c r="D943" s="2"/>
    </row>
    <row r="944" spans="2:4" x14ac:dyDescent="0.15">
      <c r="B944" s="2"/>
      <c r="C944" s="2"/>
      <c r="D944" s="2"/>
    </row>
    <row r="945" spans="2:4" x14ac:dyDescent="0.15">
      <c r="B945" s="2"/>
      <c r="C945" s="2"/>
      <c r="D945" s="2"/>
    </row>
    <row r="946" spans="2:4" x14ac:dyDescent="0.15">
      <c r="B946" s="2"/>
      <c r="C946" s="2"/>
      <c r="D946" s="2"/>
    </row>
    <row r="947" spans="2:4" x14ac:dyDescent="0.15">
      <c r="B947" s="2"/>
      <c r="C947" s="2"/>
      <c r="D947" s="2"/>
    </row>
    <row r="948" spans="2:4" x14ac:dyDescent="0.15">
      <c r="B948" s="2"/>
      <c r="C948" s="2"/>
      <c r="D948" s="2"/>
    </row>
    <row r="949" spans="2:4" x14ac:dyDescent="0.15">
      <c r="B949" s="2"/>
      <c r="C949" s="2"/>
      <c r="D949" s="2"/>
    </row>
    <row r="950" spans="2:4" x14ac:dyDescent="0.15">
      <c r="B950" s="2"/>
      <c r="C950" s="2"/>
      <c r="D950" s="2"/>
    </row>
    <row r="951" spans="2:4" x14ac:dyDescent="0.15">
      <c r="B951" s="2"/>
      <c r="C951" s="2"/>
      <c r="D951" s="2"/>
    </row>
    <row r="952" spans="2:4" x14ac:dyDescent="0.15">
      <c r="B952" s="2"/>
      <c r="C952" s="2"/>
      <c r="D952" s="2"/>
    </row>
    <row r="953" spans="2:4" x14ac:dyDescent="0.15">
      <c r="B953" s="2"/>
      <c r="C953" s="2"/>
      <c r="D953" s="2"/>
    </row>
    <row r="954" spans="2:4" x14ac:dyDescent="0.15">
      <c r="B954" s="2"/>
      <c r="C954" s="2"/>
      <c r="D954" s="2"/>
    </row>
    <row r="955" spans="2:4" x14ac:dyDescent="0.15">
      <c r="B955" s="2"/>
      <c r="C955" s="2"/>
      <c r="D955" s="2"/>
    </row>
    <row r="956" spans="2:4" x14ac:dyDescent="0.15">
      <c r="B956" s="2"/>
      <c r="C956" s="2"/>
      <c r="D956" s="2"/>
    </row>
    <row r="957" spans="2:4" x14ac:dyDescent="0.15">
      <c r="B957" s="2"/>
      <c r="C957" s="2"/>
      <c r="D957" s="2"/>
    </row>
    <row r="958" spans="2:4" x14ac:dyDescent="0.15">
      <c r="B958" s="2"/>
      <c r="C958" s="2"/>
      <c r="D958" s="2"/>
    </row>
    <row r="959" spans="2:4" x14ac:dyDescent="0.15">
      <c r="B959" s="2"/>
      <c r="C959" s="2"/>
      <c r="D959" s="2"/>
    </row>
    <row r="960" spans="2:4" x14ac:dyDescent="0.15">
      <c r="B960" s="2"/>
      <c r="C960" s="2"/>
      <c r="D960" s="2"/>
    </row>
    <row r="961" spans="2:4" x14ac:dyDescent="0.15">
      <c r="B961" s="2"/>
      <c r="C961" s="2"/>
      <c r="D961" s="2"/>
    </row>
    <row r="962" spans="2:4" x14ac:dyDescent="0.15">
      <c r="B962" s="2"/>
      <c r="C962" s="2"/>
      <c r="D962" s="2"/>
    </row>
    <row r="963" spans="2:4" x14ac:dyDescent="0.15">
      <c r="B963" s="2"/>
      <c r="C963" s="2"/>
      <c r="D963" s="2"/>
    </row>
    <row r="964" spans="2:4" x14ac:dyDescent="0.15">
      <c r="B964" s="2"/>
      <c r="C964" s="2"/>
      <c r="D964" s="2"/>
    </row>
    <row r="965" spans="2:4" x14ac:dyDescent="0.15">
      <c r="B965" s="2"/>
      <c r="C965" s="2"/>
      <c r="D965" s="2"/>
    </row>
    <row r="966" spans="2:4" x14ac:dyDescent="0.15">
      <c r="B966" s="2"/>
      <c r="C966" s="2"/>
      <c r="D966" s="2"/>
    </row>
    <row r="967" spans="2:4" x14ac:dyDescent="0.15">
      <c r="B967" s="2"/>
      <c r="C967" s="2"/>
      <c r="D967" s="2"/>
    </row>
    <row r="968" spans="2:4" x14ac:dyDescent="0.15">
      <c r="B968" s="2"/>
      <c r="C968" s="2"/>
      <c r="D968" s="2"/>
    </row>
    <row r="969" spans="2:4" x14ac:dyDescent="0.15">
      <c r="B969" s="2"/>
      <c r="C969" s="2"/>
      <c r="D969" s="2"/>
    </row>
    <row r="970" spans="2:4" x14ac:dyDescent="0.15">
      <c r="B970" s="2"/>
      <c r="C970" s="2"/>
      <c r="D970" s="2"/>
    </row>
    <row r="971" spans="2:4" x14ac:dyDescent="0.15">
      <c r="B971" s="2"/>
      <c r="C971" s="2"/>
      <c r="D971" s="2"/>
    </row>
    <row r="972" spans="2:4" x14ac:dyDescent="0.15">
      <c r="B972" s="2"/>
      <c r="C972" s="2"/>
      <c r="D972" s="2"/>
    </row>
    <row r="973" spans="2:4" x14ac:dyDescent="0.15">
      <c r="B973" s="2"/>
      <c r="C973" s="2"/>
      <c r="D973" s="2"/>
    </row>
    <row r="974" spans="2:4" x14ac:dyDescent="0.15">
      <c r="B974" s="2"/>
      <c r="C974" s="2"/>
      <c r="D974" s="2"/>
    </row>
    <row r="975" spans="2:4" x14ac:dyDescent="0.15">
      <c r="B975" s="2"/>
      <c r="C975" s="2"/>
      <c r="D975" s="2"/>
    </row>
    <row r="976" spans="2:4" x14ac:dyDescent="0.15">
      <c r="B976" s="2"/>
      <c r="C976" s="2"/>
      <c r="D976" s="2"/>
    </row>
    <row r="977" spans="2:4" x14ac:dyDescent="0.15">
      <c r="B977" s="2"/>
      <c r="C977" s="2"/>
      <c r="D977" s="2"/>
    </row>
    <row r="978" spans="2:4" x14ac:dyDescent="0.15">
      <c r="B978" s="2"/>
      <c r="C978" s="2"/>
      <c r="D978" s="2"/>
    </row>
    <row r="979" spans="2:4" x14ac:dyDescent="0.15">
      <c r="B979" s="2"/>
      <c r="C979" s="2"/>
      <c r="D979" s="2"/>
    </row>
    <row r="980" spans="2:4" x14ac:dyDescent="0.15">
      <c r="B980" s="2"/>
      <c r="C980" s="2"/>
      <c r="D980" s="2"/>
    </row>
    <row r="981" spans="2:4" x14ac:dyDescent="0.15">
      <c r="B981" s="2"/>
      <c r="C981" s="2"/>
      <c r="D981" s="2"/>
    </row>
    <row r="982" spans="2:4" x14ac:dyDescent="0.15">
      <c r="B982" s="2"/>
      <c r="C982" s="2"/>
      <c r="D982" s="2"/>
    </row>
    <row r="983" spans="2:4" x14ac:dyDescent="0.15">
      <c r="B983" s="2"/>
      <c r="C983" s="2"/>
      <c r="D983" s="2"/>
    </row>
    <row r="984" spans="2:4" x14ac:dyDescent="0.15">
      <c r="B984" s="2"/>
      <c r="C984" s="2"/>
      <c r="D984" s="2"/>
    </row>
    <row r="985" spans="2:4" x14ac:dyDescent="0.15">
      <c r="B985" s="2"/>
      <c r="C985" s="2"/>
      <c r="D985" s="2"/>
    </row>
    <row r="986" spans="2:4" x14ac:dyDescent="0.15">
      <c r="B986" s="2"/>
      <c r="C986" s="2"/>
      <c r="D986" s="2"/>
    </row>
    <row r="987" spans="2:4" x14ac:dyDescent="0.15">
      <c r="B987" s="2"/>
      <c r="C987" s="2"/>
      <c r="D987" s="2"/>
    </row>
    <row r="988" spans="2:4" x14ac:dyDescent="0.15">
      <c r="B988" s="2"/>
      <c r="C988" s="2"/>
      <c r="D988" s="2"/>
    </row>
    <row r="989" spans="2:4" x14ac:dyDescent="0.15">
      <c r="B989" s="2"/>
      <c r="C989" s="2"/>
      <c r="D989" s="2"/>
    </row>
    <row r="990" spans="2:4" x14ac:dyDescent="0.15">
      <c r="B990" s="2"/>
      <c r="C990" s="2"/>
      <c r="D990" s="2"/>
    </row>
    <row r="991" spans="2:4" x14ac:dyDescent="0.15">
      <c r="B991" s="2"/>
      <c r="C991" s="2"/>
      <c r="D991" s="2"/>
    </row>
    <row r="992" spans="2:4" x14ac:dyDescent="0.15">
      <c r="B992" s="2"/>
      <c r="C992" s="2"/>
      <c r="D992" s="2"/>
    </row>
    <row r="993" spans="2:4" x14ac:dyDescent="0.15">
      <c r="B993" s="2"/>
      <c r="C993" s="2"/>
      <c r="D993" s="2"/>
    </row>
    <row r="994" spans="2:4" x14ac:dyDescent="0.15">
      <c r="B994" s="2"/>
      <c r="C994" s="2"/>
      <c r="D994" s="2"/>
    </row>
    <row r="995" spans="2:4" x14ac:dyDescent="0.15">
      <c r="B995" s="2"/>
      <c r="C995" s="2"/>
      <c r="D995" s="2"/>
    </row>
    <row r="996" spans="2:4" x14ac:dyDescent="0.15">
      <c r="B996" s="2"/>
      <c r="C996" s="2"/>
      <c r="D996" s="2"/>
    </row>
    <row r="997" spans="2:4" x14ac:dyDescent="0.15">
      <c r="B997" s="2"/>
      <c r="C997" s="2"/>
      <c r="D997" s="2"/>
    </row>
    <row r="998" spans="2:4" x14ac:dyDescent="0.15">
      <c r="B998" s="2"/>
      <c r="C998" s="2"/>
      <c r="D998" s="2"/>
    </row>
    <row r="999" spans="2:4" x14ac:dyDescent="0.15">
      <c r="B999" s="2"/>
      <c r="C999" s="2"/>
      <c r="D999" s="2"/>
    </row>
    <row r="1000" spans="2:4" x14ac:dyDescent="0.15">
      <c r="B1000" s="2"/>
      <c r="C1000" s="2"/>
      <c r="D1000" s="2"/>
    </row>
    <row r="1001" spans="2:4" x14ac:dyDescent="0.15">
      <c r="B1001" s="2"/>
      <c r="C1001" s="2"/>
      <c r="D1001" s="2"/>
    </row>
    <row r="1002" spans="2:4" x14ac:dyDescent="0.15">
      <c r="B1002" s="2"/>
      <c r="C1002" s="2"/>
    </row>
  </sheetData>
  <mergeCells count="1">
    <mergeCell ref="A1:C1"/>
  </mergeCells>
  <phoneticPr fontId="6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ListItem</vt:lpstr>
      <vt:lpstr>RSpline</vt:lpstr>
      <vt:lpstr>GraphResult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</dc:creator>
  <cp:lastModifiedBy>Microsoft Office User</cp:lastModifiedBy>
  <dcterms:created xsi:type="dcterms:W3CDTF">2010-08-23T03:50:42Z</dcterms:created>
  <dcterms:modified xsi:type="dcterms:W3CDTF">2018-04-30T21:41:36Z</dcterms:modified>
</cp:coreProperties>
</file>