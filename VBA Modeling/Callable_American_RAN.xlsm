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hact\My Cloud\Semester V\VBA\week 5\"/>
    </mc:Choice>
  </mc:AlternateContent>
  <bookViews>
    <workbookView xWindow="240" yWindow="198" windowWidth="14958" windowHeight="7818" xr2:uid="{00000000-000D-0000-FFFF-FFFF00000000}"/>
  </bookViews>
  <sheets>
    <sheet name="Callable RAN" sheetId="2" r:id="rId1"/>
    <sheet name="AM_RAN" sheetId="4" r:id="rId2"/>
    <sheet name="ListItem" sheetId="3" r:id="rId3"/>
  </sheets>
  <functionGroups builtInGroupCount="19"/>
  <calcPr calcId="171027"/>
</workbook>
</file>

<file path=xl/calcChain.xml><?xml version="1.0" encoding="utf-8"?>
<calcChain xmlns="http://schemas.openxmlformats.org/spreadsheetml/2006/main">
  <c r="B9" i="4" l="1"/>
  <c r="B6" i="4"/>
  <c r="B9" i="2"/>
  <c r="B6" i="2"/>
  <c r="A2" i="3"/>
  <c r="G4" i="4"/>
  <c r="G2" i="4"/>
  <c r="G3" i="4"/>
  <c r="G3" i="2"/>
  <c r="G2" i="2"/>
  <c r="G4" i="2"/>
  <c r="H2" i="4" l="1"/>
  <c r="H3" i="4" s="1"/>
  <c r="H4" i="4" s="1"/>
  <c r="B7" i="4" s="1"/>
  <c r="B5" i="4" s="1"/>
  <c r="H2" i="2"/>
  <c r="H3" i="2" s="1"/>
  <c r="H4" i="2" s="1"/>
  <c r="B7" i="2" s="1"/>
  <c r="B5" i="2" s="1"/>
</calcChain>
</file>

<file path=xl/sharedStrings.xml><?xml version="1.0" encoding="utf-8"?>
<sst xmlns="http://schemas.openxmlformats.org/spreadsheetml/2006/main" count="61" uniqueCount="38">
  <si>
    <t>Option Type</t>
    <phoneticPr fontId="1" type="noConversion"/>
  </si>
  <si>
    <t>Call</t>
    <phoneticPr fontId="1" type="noConversion"/>
  </si>
  <si>
    <t>Put</t>
    <phoneticPr fontId="1" type="noConversion"/>
  </si>
  <si>
    <t>Straddle</t>
    <phoneticPr fontId="1" type="noConversion"/>
  </si>
  <si>
    <t>No</t>
  </si>
  <si>
    <t>Year</t>
  </si>
  <si>
    <t>Holiday (mm/dd/yyyy)</t>
    <phoneticPr fontId="1" type="noConversion"/>
  </si>
  <si>
    <t>Stock Price (S0)</t>
  </si>
  <si>
    <t>Risk Free Rate (rf)</t>
  </si>
  <si>
    <t>Volatility (sigma)</t>
  </si>
  <si>
    <t>Time to Maturity (T)</t>
  </si>
  <si>
    <t xml:space="preserve">Time step (dt) </t>
  </si>
  <si>
    <t>Number of steps (m)</t>
  </si>
  <si>
    <t>Number of Path (n)</t>
  </si>
  <si>
    <t>Note Denomination(D)</t>
  </si>
  <si>
    <t>Strike price(K)</t>
  </si>
  <si>
    <t>Barrier Price(B)</t>
  </si>
  <si>
    <t>Trigger Price(TG)</t>
  </si>
  <si>
    <t>Period</t>
  </si>
  <si>
    <t>Start Date</t>
  </si>
  <si>
    <t>End Date</t>
  </si>
  <si>
    <t>Trading days</t>
  </si>
  <si>
    <t>Cumulative trading days</t>
  </si>
  <si>
    <t>Simulated Price</t>
    <phoneticPr fontId="1" type="noConversion"/>
  </si>
  <si>
    <t>(on Sep 25 2008)</t>
    <phoneticPr fontId="1" type="noConversion"/>
  </si>
  <si>
    <t>Number of steps (m)</t>
    <phoneticPr fontId="1" type="noConversion"/>
  </si>
  <si>
    <t>*including the start date and end date</t>
    <phoneticPr fontId="1" type="noConversion"/>
  </si>
  <si>
    <t>Dividend yield (q)</t>
  </si>
  <si>
    <t xml:space="preserve">Horizon </t>
  </si>
  <si>
    <t>VaR</t>
  </si>
  <si>
    <t>(in number of steps)</t>
  </si>
  <si>
    <t>Price (European)</t>
  </si>
  <si>
    <t>(European)</t>
  </si>
  <si>
    <t>Price (American)</t>
  </si>
  <si>
    <t xml:space="preserve"> (American)</t>
  </si>
  <si>
    <t>VaR Confidence Level</t>
  </si>
  <si>
    <t xml:space="preserve">Trading days </t>
  </si>
  <si>
    <t>Coupon rate per period (cr)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</si>
</sst>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m/dd/yyyy"/>
    <numFmt numFmtId="177" formatCode="dd/mm/yyyy"/>
  </numFmts>
  <fonts count="6" x14ac:knownFonts="1"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2"/>
      <name val="Arial"/>
      <family val="2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0" xfId="0" applyFont="1" applyBorder="1" applyAlignment="1">
      <alignment horizontal="right" vertical="center"/>
    </xf>
    <xf numFmtId="176" fontId="3" fillId="0" borderId="0" xfId="0" applyNumberFormat="1" applyFont="1" applyBorder="1" applyAlignment="1">
      <alignment horizontal="right" vertic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Fill="1" applyBorder="1">
      <alignment vertical="center"/>
    </xf>
    <xf numFmtId="10" fontId="4" fillId="0" borderId="0" xfId="0" applyNumberFormat="1" applyFont="1">
      <alignment vertical="center"/>
    </xf>
    <xf numFmtId="0" fontId="3" fillId="0" borderId="0" xfId="0" applyFont="1" applyBorder="1">
      <alignment vertical="center"/>
    </xf>
    <xf numFmtId="176" fontId="3" fillId="0" borderId="0" xfId="0" applyNumberFormat="1" applyFont="1" applyBorder="1">
      <alignment vertical="center"/>
    </xf>
    <xf numFmtId="1" fontId="4" fillId="0" borderId="0" xfId="0" applyNumberFormat="1" applyFont="1" applyBorder="1">
      <alignment vertical="center"/>
    </xf>
    <xf numFmtId="14" fontId="3" fillId="0" borderId="0" xfId="0" applyNumberFormat="1" applyFont="1" applyBorder="1">
      <alignment vertical="center"/>
    </xf>
    <xf numFmtId="1" fontId="4" fillId="0" borderId="0" xfId="0" applyNumberFormat="1" applyFont="1" applyBorder="1" applyAlignment="1"/>
    <xf numFmtId="0" fontId="3" fillId="0" borderId="0" xfId="0" applyNumberFormat="1" applyFont="1">
      <alignment vertical="center"/>
    </xf>
    <xf numFmtId="1" fontId="3" fillId="0" borderId="0" xfId="0" applyNumberFormat="1" applyFont="1">
      <alignment vertical="center"/>
    </xf>
    <xf numFmtId="0" fontId="2" fillId="0" borderId="0" xfId="0" applyFont="1">
      <alignment vertical="center"/>
    </xf>
    <xf numFmtId="10" fontId="3" fillId="0" borderId="0" xfId="0" applyNumberFormat="1" applyFont="1">
      <alignment vertical="center"/>
    </xf>
    <xf numFmtId="9" fontId="3" fillId="0" borderId="0" xfId="0" applyNumberFormat="1" applyFo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217170</xdr:colOff>
          <xdr:row>7</xdr:row>
          <xdr:rowOff>121920</xdr:rowOff>
        </xdr:from>
        <xdr:to>
          <xdr:col>4</xdr:col>
          <xdr:colOff>560070</xdr:colOff>
          <xdr:row>9</xdr:row>
          <xdr:rowOff>3810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913CD789-7904-4FCC-B6C5-C48FF7F3B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952500</xdr:colOff>
          <xdr:row>14</xdr:row>
          <xdr:rowOff>68580</xdr:rowOff>
        </xdr:from>
        <xdr:to>
          <xdr:col>1</xdr:col>
          <xdr:colOff>468630</xdr:colOff>
          <xdr:row>15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0"/>
  <sheetViews>
    <sheetView tabSelected="1" workbookViewId="0">
      <selection activeCell="E21" sqref="E21"/>
    </sheetView>
  </sheetViews>
  <sheetFormatPr defaultRowHeight="14.7" x14ac:dyDescent="0.45"/>
  <cols>
    <col min="1" max="1" width="20.47265625" bestFit="1" customWidth="1"/>
    <col min="2" max="2" width="12.89453125" bestFit="1" customWidth="1"/>
    <col min="3" max="3" width="9.1015625" customWidth="1"/>
    <col min="4" max="4" width="6.62890625" bestFit="1" customWidth="1"/>
    <col min="5" max="6" width="11.1015625" bestFit="1" customWidth="1"/>
    <col min="7" max="7" width="12" bestFit="1" customWidth="1"/>
    <col min="8" max="8" width="25.3671875" bestFit="1" customWidth="1"/>
    <col min="9" max="9" width="38.47265625" bestFit="1" customWidth="1"/>
  </cols>
  <sheetData>
    <row r="1" spans="1:9" ht="15" x14ac:dyDescent="0.45">
      <c r="A1" s="5" t="s">
        <v>7</v>
      </c>
      <c r="B1" s="5">
        <v>123.8</v>
      </c>
      <c r="C1" s="5"/>
      <c r="D1" s="6" t="s">
        <v>18</v>
      </c>
      <c r="E1" s="6" t="s">
        <v>19</v>
      </c>
      <c r="F1" s="7" t="s">
        <v>20</v>
      </c>
      <c r="G1" s="6" t="s">
        <v>36</v>
      </c>
      <c r="H1" s="8" t="s">
        <v>22</v>
      </c>
      <c r="I1" s="9" t="s">
        <v>26</v>
      </c>
    </row>
    <row r="2" spans="1:9" ht="15" x14ac:dyDescent="0.45">
      <c r="A2" s="5" t="s">
        <v>8</v>
      </c>
      <c r="B2" s="10">
        <v>3.4000000000000002E-2</v>
      </c>
      <c r="C2" s="5"/>
      <c r="D2" s="11">
        <v>1</v>
      </c>
      <c r="E2" s="12">
        <v>39716</v>
      </c>
      <c r="F2" s="12">
        <v>39773</v>
      </c>
      <c r="G2" s="13">
        <f>netdays(E2-1,F2)</f>
        <v>40</v>
      </c>
      <c r="H2" s="13">
        <f>G2</f>
        <v>40</v>
      </c>
      <c r="I2" s="5"/>
    </row>
    <row r="3" spans="1:9" ht="15" x14ac:dyDescent="0.5">
      <c r="A3" s="5" t="s">
        <v>27</v>
      </c>
      <c r="B3" s="10">
        <v>0.03</v>
      </c>
      <c r="C3" s="5"/>
      <c r="D3" s="11">
        <v>2</v>
      </c>
      <c r="E3" s="14">
        <v>39776</v>
      </c>
      <c r="F3" s="12">
        <v>39834</v>
      </c>
      <c r="G3" s="13">
        <f>netdays(E3-1,F3)</f>
        <v>40</v>
      </c>
      <c r="H3" s="15">
        <f>H2+G3</f>
        <v>80</v>
      </c>
      <c r="I3" s="5"/>
    </row>
    <row r="4" spans="1:9" ht="15" x14ac:dyDescent="0.5">
      <c r="A4" s="5" t="s">
        <v>9</v>
      </c>
      <c r="B4" s="5">
        <v>0.46739999999999998</v>
      </c>
      <c r="C4" s="5"/>
      <c r="D4" s="11">
        <v>3</v>
      </c>
      <c r="E4" s="14">
        <v>39835</v>
      </c>
      <c r="F4" s="12">
        <v>39895</v>
      </c>
      <c r="G4" s="13">
        <f>netdays(E4-1,F4)</f>
        <v>40</v>
      </c>
      <c r="H4" s="15">
        <f>H3+G4</f>
        <v>120</v>
      </c>
      <c r="I4" s="5"/>
    </row>
    <row r="5" spans="1:9" ht="15" x14ac:dyDescent="0.45">
      <c r="A5" s="5" t="s">
        <v>10</v>
      </c>
      <c r="B5" s="16">
        <f>B6*B7</f>
        <v>0.47619047619047616</v>
      </c>
      <c r="C5" s="5"/>
      <c r="D5" s="5"/>
      <c r="E5" s="12"/>
      <c r="F5" s="12"/>
      <c r="G5" s="13"/>
      <c r="H5" s="5"/>
      <c r="I5" s="5"/>
    </row>
    <row r="6" spans="1:9" ht="15" x14ac:dyDescent="0.45">
      <c r="A6" s="5" t="s">
        <v>11</v>
      </c>
      <c r="B6" s="5">
        <f>1/252</f>
        <v>3.968253968253968E-3</v>
      </c>
      <c r="C6" s="5"/>
      <c r="D6" s="5"/>
      <c r="E6" s="5"/>
      <c r="F6" s="5"/>
      <c r="G6" s="5"/>
      <c r="H6" s="5"/>
      <c r="I6" s="5"/>
    </row>
    <row r="7" spans="1:9" ht="15" x14ac:dyDescent="0.45">
      <c r="A7" s="5" t="s">
        <v>25</v>
      </c>
      <c r="B7" s="17">
        <f>H4</f>
        <v>120</v>
      </c>
      <c r="C7" s="18"/>
      <c r="D7" s="5"/>
      <c r="E7" s="5"/>
      <c r="F7" s="5"/>
      <c r="G7" s="5"/>
      <c r="H7" s="5"/>
      <c r="I7" s="5"/>
    </row>
    <row r="8" spans="1:9" ht="15" x14ac:dyDescent="0.45">
      <c r="A8" s="5" t="s">
        <v>13</v>
      </c>
      <c r="B8" s="5">
        <v>10000</v>
      </c>
      <c r="C8" s="5"/>
      <c r="D8" s="5"/>
      <c r="E8" s="5"/>
      <c r="F8" s="5"/>
      <c r="G8" s="5"/>
      <c r="H8" s="5"/>
      <c r="I8" s="5"/>
    </row>
    <row r="9" spans="1:9" ht="15" x14ac:dyDescent="0.45">
      <c r="A9" s="5" t="s">
        <v>37</v>
      </c>
      <c r="B9" s="19">
        <f>16%/12</f>
        <v>1.3333333333333334E-2</v>
      </c>
      <c r="C9" s="5"/>
      <c r="D9" s="5"/>
      <c r="E9" s="5"/>
      <c r="F9" s="5"/>
      <c r="G9" s="5"/>
      <c r="H9" s="5"/>
      <c r="I9" s="5"/>
    </row>
    <row r="10" spans="1:9" ht="15" x14ac:dyDescent="0.45">
      <c r="A10" s="5" t="s">
        <v>14</v>
      </c>
      <c r="B10" s="5">
        <v>100000</v>
      </c>
      <c r="C10" s="5"/>
      <c r="D10" s="5"/>
      <c r="E10" s="5"/>
      <c r="F10" s="5"/>
      <c r="G10" s="5"/>
      <c r="H10" s="5"/>
      <c r="I10" s="5"/>
    </row>
    <row r="11" spans="1:9" ht="15" x14ac:dyDescent="0.45">
      <c r="A11" s="5" t="s">
        <v>15</v>
      </c>
      <c r="B11" s="5">
        <v>112.45350000000001</v>
      </c>
      <c r="C11" s="5"/>
      <c r="D11" s="5"/>
      <c r="E11" s="5"/>
      <c r="F11" s="5"/>
      <c r="G11" s="5"/>
      <c r="H11" s="5"/>
      <c r="I11" s="5"/>
    </row>
    <row r="12" spans="1:9" ht="15" x14ac:dyDescent="0.45">
      <c r="A12" s="5" t="s">
        <v>16</v>
      </c>
      <c r="B12" s="5">
        <v>0</v>
      </c>
      <c r="C12" s="5"/>
      <c r="D12" s="5"/>
      <c r="E12" s="5"/>
      <c r="F12" s="5"/>
      <c r="G12" s="5"/>
      <c r="H12" s="5"/>
      <c r="I12" s="5"/>
    </row>
    <row r="13" spans="1:9" ht="15" x14ac:dyDescent="0.45">
      <c r="A13" s="5" t="s">
        <v>17</v>
      </c>
      <c r="B13" s="5">
        <v>121.67100000000001</v>
      </c>
      <c r="C13" s="5"/>
      <c r="D13" s="5"/>
      <c r="E13" s="5"/>
      <c r="F13" s="5"/>
      <c r="G13" s="5"/>
      <c r="H13" s="5"/>
      <c r="I13" s="5"/>
    </row>
    <row r="14" spans="1:9" ht="15" x14ac:dyDescent="0.45">
      <c r="A14" s="18" t="s">
        <v>24</v>
      </c>
      <c r="B14" s="5"/>
      <c r="C14" s="5"/>
      <c r="D14" s="5"/>
      <c r="E14" s="5"/>
      <c r="F14" s="5"/>
      <c r="G14" s="5"/>
      <c r="H14" s="5"/>
      <c r="I14" s="5"/>
    </row>
    <row r="15" spans="1:9" ht="15" x14ac:dyDescent="0.45">
      <c r="A15" s="5" t="s">
        <v>35</v>
      </c>
      <c r="B15" s="20">
        <v>0.95</v>
      </c>
      <c r="C15" s="5"/>
      <c r="D15" s="5"/>
      <c r="E15" s="5"/>
      <c r="F15" s="5"/>
      <c r="G15" s="5"/>
      <c r="H15" s="5"/>
      <c r="I15" s="5"/>
    </row>
    <row r="16" spans="1:9" ht="15" x14ac:dyDescent="0.45">
      <c r="A16" s="5"/>
      <c r="B16" s="5"/>
      <c r="C16" s="5"/>
      <c r="D16" s="5"/>
      <c r="E16" s="5"/>
      <c r="F16" s="5"/>
      <c r="G16" s="5"/>
      <c r="H16" s="5"/>
      <c r="I16" s="5"/>
    </row>
    <row r="17" spans="1:9" ht="15" x14ac:dyDescent="0.45">
      <c r="A17" s="5"/>
      <c r="B17" s="5"/>
      <c r="C17" s="5"/>
      <c r="D17" s="5"/>
      <c r="E17" s="5"/>
      <c r="F17" s="5"/>
      <c r="G17" s="5"/>
      <c r="H17" s="5"/>
      <c r="I17" s="5"/>
    </row>
    <row r="18" spans="1:9" ht="15" x14ac:dyDescent="0.45">
      <c r="A18" s="18" t="s">
        <v>23</v>
      </c>
      <c r="B18" s="5">
        <v>94617.778525262882</v>
      </c>
      <c r="C18" s="5"/>
      <c r="D18" s="5"/>
      <c r="E18" s="3" t="s">
        <v>28</v>
      </c>
      <c r="F18" s="3" t="s">
        <v>29</v>
      </c>
      <c r="G18" s="5"/>
      <c r="H18" s="5"/>
      <c r="I18" s="5"/>
    </row>
    <row r="19" spans="1:9" ht="15" x14ac:dyDescent="0.45">
      <c r="A19" s="18" t="s">
        <v>24</v>
      </c>
      <c r="B19" s="5"/>
      <c r="C19" s="5"/>
      <c r="D19" s="5"/>
      <c r="E19" s="4">
        <v>120</v>
      </c>
      <c r="F19" s="5">
        <v>29830.518407495256</v>
      </c>
      <c r="G19" s="5"/>
      <c r="H19" s="5"/>
      <c r="I19" s="5"/>
    </row>
    <row r="20" spans="1:9" ht="15" x14ac:dyDescent="0.45">
      <c r="A20" s="5"/>
      <c r="B20" s="5"/>
      <c r="C20" s="5"/>
      <c r="D20" s="5"/>
      <c r="E20" s="17"/>
      <c r="F20" s="5"/>
      <c r="G20" s="5"/>
      <c r="H20" s="5"/>
      <c r="I20" s="5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calc_callable">
                <anchor moveWithCells="1" sizeWithCells="1">
                  <from>
                    <xdr:col>3</xdr:col>
                    <xdr:colOff>217170</xdr:colOff>
                    <xdr:row>7</xdr:row>
                    <xdr:rowOff>121920</xdr:rowOff>
                  </from>
                  <to>
                    <xdr:col>4</xdr:col>
                    <xdr:colOff>560070</xdr:colOff>
                    <xdr:row>9</xdr:row>
                    <xdr:rowOff>3810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38"/>
  <sheetViews>
    <sheetView topLeftCell="A9" workbookViewId="0">
      <selection activeCell="G16" sqref="G16"/>
    </sheetView>
  </sheetViews>
  <sheetFormatPr defaultRowHeight="14.7" x14ac:dyDescent="0.45"/>
  <cols>
    <col min="1" max="1" width="25.3671875" customWidth="1"/>
    <col min="2" max="2" width="12.47265625" customWidth="1"/>
    <col min="4" max="4" width="11" bestFit="1" customWidth="1"/>
    <col min="5" max="5" width="11.1015625" bestFit="1" customWidth="1"/>
    <col min="6" max="6" width="13.734375" bestFit="1" customWidth="1"/>
    <col min="7" max="7" width="12" bestFit="1" customWidth="1"/>
    <col min="8" max="8" width="19.62890625" customWidth="1"/>
    <col min="9" max="10" width="9.1015625" bestFit="1" customWidth="1"/>
  </cols>
  <sheetData>
    <row r="1" spans="1:11" ht="15" x14ac:dyDescent="0.45">
      <c r="A1" s="5" t="s">
        <v>7</v>
      </c>
      <c r="B1" s="5">
        <v>123.8</v>
      </c>
      <c r="C1" s="5"/>
      <c r="D1" s="11" t="s">
        <v>18</v>
      </c>
      <c r="E1" s="11" t="s">
        <v>19</v>
      </c>
      <c r="F1" s="12" t="s">
        <v>20</v>
      </c>
      <c r="G1" s="11" t="s">
        <v>21</v>
      </c>
      <c r="H1" s="11" t="s">
        <v>22</v>
      </c>
      <c r="I1" s="5"/>
      <c r="J1" s="5"/>
      <c r="K1" s="5"/>
    </row>
    <row r="2" spans="1:11" ht="15" x14ac:dyDescent="0.45">
      <c r="A2" s="5" t="s">
        <v>8</v>
      </c>
      <c r="B2" s="10">
        <v>3.4000000000000002E-2</v>
      </c>
      <c r="C2" s="5"/>
      <c r="D2" s="11">
        <v>1</v>
      </c>
      <c r="E2" s="12">
        <v>39716</v>
      </c>
      <c r="F2" s="12">
        <v>39773</v>
      </c>
      <c r="G2" s="13">
        <f>netdays(E2-1,F2)</f>
        <v>40</v>
      </c>
      <c r="H2" s="13">
        <f>G2</f>
        <v>40</v>
      </c>
      <c r="I2" s="5"/>
      <c r="J2" s="5"/>
      <c r="K2" s="5"/>
    </row>
    <row r="3" spans="1:11" ht="15" x14ac:dyDescent="0.5">
      <c r="A3" s="5" t="s">
        <v>27</v>
      </c>
      <c r="B3" s="10">
        <v>0.03</v>
      </c>
      <c r="C3" s="5"/>
      <c r="D3" s="11">
        <v>2</v>
      </c>
      <c r="E3" s="14">
        <v>39776</v>
      </c>
      <c r="F3" s="12">
        <v>39834</v>
      </c>
      <c r="G3" s="13">
        <f t="shared" ref="G3:G4" si="0">netdays(E3-1,F3)</f>
        <v>40</v>
      </c>
      <c r="H3" s="15">
        <f>H2+G3</f>
        <v>80</v>
      </c>
      <c r="I3" s="5"/>
      <c r="J3" s="5"/>
      <c r="K3" s="5"/>
    </row>
    <row r="4" spans="1:11" ht="15" x14ac:dyDescent="0.5">
      <c r="A4" s="5" t="s">
        <v>9</v>
      </c>
      <c r="B4" s="5">
        <v>0.46739999999999998</v>
      </c>
      <c r="C4" s="5"/>
      <c r="D4" s="11">
        <v>3</v>
      </c>
      <c r="E4" s="14">
        <v>39835</v>
      </c>
      <c r="F4" s="12">
        <v>39895</v>
      </c>
      <c r="G4" s="13">
        <f t="shared" si="0"/>
        <v>40</v>
      </c>
      <c r="H4" s="15">
        <f>H3+G4</f>
        <v>120</v>
      </c>
      <c r="I4" s="5"/>
      <c r="J4" s="5"/>
      <c r="K4" s="5"/>
    </row>
    <row r="5" spans="1:11" ht="15" x14ac:dyDescent="0.45">
      <c r="A5" s="5" t="s">
        <v>10</v>
      </c>
      <c r="B5" s="16">
        <f>B6*B7</f>
        <v>0.47619047619047616</v>
      </c>
      <c r="C5" s="5"/>
      <c r="D5" s="5"/>
      <c r="E5" s="5"/>
      <c r="F5" s="5"/>
      <c r="G5" s="5"/>
      <c r="H5" s="5"/>
      <c r="I5" s="5"/>
      <c r="J5" s="5"/>
      <c r="K5" s="5"/>
    </row>
    <row r="6" spans="1:11" ht="15" x14ac:dyDescent="0.45">
      <c r="A6" s="5" t="s">
        <v>11</v>
      </c>
      <c r="B6" s="5">
        <f>1/252</f>
        <v>3.968253968253968E-3</v>
      </c>
      <c r="C6" s="5"/>
      <c r="D6" s="5"/>
      <c r="E6" s="5"/>
      <c r="F6" s="5"/>
      <c r="G6" s="5"/>
      <c r="H6" s="5"/>
      <c r="I6" s="5"/>
      <c r="J6" s="5"/>
      <c r="K6" s="5"/>
    </row>
    <row r="7" spans="1:11" ht="15" x14ac:dyDescent="0.45">
      <c r="A7" s="5" t="s">
        <v>12</v>
      </c>
      <c r="B7" s="17">
        <f>H4</f>
        <v>120</v>
      </c>
      <c r="C7" s="5"/>
      <c r="D7" s="5"/>
      <c r="E7" s="5"/>
      <c r="F7" s="5"/>
      <c r="G7" s="5"/>
      <c r="H7" s="5"/>
      <c r="I7" s="5"/>
      <c r="J7" s="5"/>
      <c r="K7" s="5"/>
    </row>
    <row r="8" spans="1:11" ht="15" x14ac:dyDescent="0.45">
      <c r="A8" s="5" t="s">
        <v>13</v>
      </c>
      <c r="B8" s="5">
        <v>10000</v>
      </c>
      <c r="C8" s="5"/>
      <c r="D8" s="5"/>
      <c r="E8" s="5"/>
      <c r="F8" s="5"/>
      <c r="G8" s="5"/>
      <c r="H8" s="5"/>
      <c r="I8" s="5"/>
      <c r="J8" s="5"/>
      <c r="K8" s="5"/>
    </row>
    <row r="9" spans="1:11" ht="15" x14ac:dyDescent="0.45">
      <c r="A9" s="5" t="s">
        <v>37</v>
      </c>
      <c r="B9" s="19">
        <f>16%/12</f>
        <v>1.3333333333333334E-2</v>
      </c>
      <c r="C9" s="5"/>
      <c r="D9" s="5"/>
      <c r="E9" s="5"/>
      <c r="F9" s="5"/>
      <c r="G9" s="5"/>
      <c r="H9" s="5"/>
      <c r="I9" s="5"/>
      <c r="J9" s="5"/>
      <c r="K9" s="5"/>
    </row>
    <row r="10" spans="1:11" ht="15" x14ac:dyDescent="0.45">
      <c r="A10" s="5" t="s">
        <v>14</v>
      </c>
      <c r="B10" s="5">
        <v>100000</v>
      </c>
      <c r="C10" s="5"/>
      <c r="D10" s="5"/>
      <c r="E10" s="5"/>
      <c r="F10" s="5"/>
      <c r="G10" s="5"/>
      <c r="H10" s="5"/>
      <c r="I10" s="5"/>
      <c r="J10" s="5"/>
      <c r="K10" s="5"/>
    </row>
    <row r="11" spans="1:11" ht="15" x14ac:dyDescent="0.45">
      <c r="A11" s="5" t="s">
        <v>15</v>
      </c>
      <c r="B11" s="5">
        <v>112.45350000000001</v>
      </c>
      <c r="C11" s="5"/>
      <c r="D11" s="5"/>
      <c r="E11" s="5"/>
      <c r="F11" s="5"/>
      <c r="G11" s="5"/>
      <c r="H11" s="5"/>
      <c r="I11" s="5"/>
      <c r="J11" s="5"/>
      <c r="K11" s="5"/>
    </row>
    <row r="12" spans="1:11" ht="15" x14ac:dyDescent="0.45">
      <c r="A12" s="18" t="s">
        <v>24</v>
      </c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 ht="15" x14ac:dyDescent="0.45">
      <c r="A13" s="5" t="s">
        <v>35</v>
      </c>
      <c r="B13" s="20">
        <v>0.99</v>
      </c>
      <c r="C13" s="5"/>
      <c r="D13" s="5"/>
      <c r="E13" s="5"/>
      <c r="F13" s="5"/>
      <c r="G13" s="5"/>
      <c r="H13" s="5"/>
      <c r="I13" s="5"/>
      <c r="J13" s="5"/>
      <c r="K13" s="5"/>
    </row>
    <row r="14" spans="1:11" ht="15" x14ac:dyDescent="0.4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 ht="15" x14ac:dyDescent="0.4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 ht="15" x14ac:dyDescent="0.4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1:11" ht="15" x14ac:dyDescent="0.45">
      <c r="A17" s="18" t="s">
        <v>24</v>
      </c>
      <c r="B17" s="5"/>
      <c r="C17" s="5"/>
      <c r="D17" s="5"/>
      <c r="E17" s="3" t="s">
        <v>28</v>
      </c>
      <c r="F17" s="3" t="s">
        <v>29</v>
      </c>
      <c r="G17" s="5"/>
      <c r="H17" s="5"/>
      <c r="I17" s="3" t="s">
        <v>28</v>
      </c>
      <c r="J17" s="3" t="s">
        <v>29</v>
      </c>
      <c r="K17" s="5"/>
    </row>
    <row r="18" spans="1:11" ht="15" x14ac:dyDescent="0.45">
      <c r="A18" s="18" t="s">
        <v>33</v>
      </c>
      <c r="B18" s="5">
        <v>102331.73536285758</v>
      </c>
      <c r="C18" s="5"/>
      <c r="D18" s="5"/>
      <c r="E18" s="4" t="s">
        <v>30</v>
      </c>
      <c r="F18" s="5" t="s">
        <v>32</v>
      </c>
      <c r="G18" s="5"/>
      <c r="H18" s="5"/>
      <c r="I18" s="4" t="s">
        <v>30</v>
      </c>
      <c r="J18" s="5" t="s">
        <v>34</v>
      </c>
      <c r="K18" s="5"/>
    </row>
    <row r="19" spans="1:11" ht="15" x14ac:dyDescent="0.45">
      <c r="A19" s="18" t="s">
        <v>31</v>
      </c>
      <c r="B19" s="5">
        <v>93380.605297155736</v>
      </c>
      <c r="C19" s="5"/>
      <c r="D19" s="5"/>
      <c r="E19" s="17">
        <v>120</v>
      </c>
      <c r="F19" s="5">
        <v>42219.171423987049</v>
      </c>
      <c r="G19" s="5"/>
      <c r="H19" s="5"/>
      <c r="I19" s="5">
        <v>1</v>
      </c>
      <c r="J19" s="5">
        <v>-13.807594129160861</v>
      </c>
      <c r="K19" s="5"/>
    </row>
    <row r="20" spans="1:11" ht="15" x14ac:dyDescent="0.45">
      <c r="A20" s="18"/>
      <c r="B20" s="5"/>
      <c r="C20" s="5"/>
      <c r="D20" s="5"/>
      <c r="E20" s="5"/>
      <c r="F20" s="5"/>
      <c r="G20" s="5"/>
      <c r="H20" s="5"/>
      <c r="I20" s="5">
        <v>2</v>
      </c>
      <c r="J20" s="5">
        <v>-27.617051335633732</v>
      </c>
      <c r="K20" s="5"/>
    </row>
    <row r="21" spans="1:11" ht="15" x14ac:dyDescent="0.45">
      <c r="A21" s="5"/>
      <c r="B21" s="5"/>
      <c r="C21" s="5"/>
      <c r="D21" s="5"/>
      <c r="E21" s="5"/>
      <c r="F21" s="5"/>
      <c r="G21" s="5"/>
      <c r="H21" s="5"/>
      <c r="I21" s="5">
        <v>3</v>
      </c>
      <c r="J21" s="5">
        <v>-41.428371848538518</v>
      </c>
      <c r="K21" s="5"/>
    </row>
    <row r="22" spans="1:11" ht="15" x14ac:dyDescent="0.45">
      <c r="A22" s="5"/>
      <c r="B22" s="5"/>
      <c r="C22" s="5"/>
      <c r="D22" s="5"/>
      <c r="E22" s="5"/>
      <c r="F22" s="5"/>
      <c r="G22" s="5"/>
      <c r="H22" s="5"/>
      <c r="I22" s="5">
        <v>4</v>
      </c>
      <c r="J22" s="5">
        <v>-55.241555919288658</v>
      </c>
      <c r="K22" s="5"/>
    </row>
    <row r="23" spans="1:11" ht="15" x14ac:dyDescent="0.45">
      <c r="A23" s="5"/>
      <c r="B23" s="5"/>
      <c r="C23" s="5"/>
      <c r="D23" s="5"/>
      <c r="E23" s="5"/>
      <c r="F23" s="5"/>
      <c r="G23" s="5"/>
      <c r="H23" s="5"/>
      <c r="I23" s="5">
        <v>5</v>
      </c>
      <c r="J23" s="5">
        <v>-69.056603799326695</v>
      </c>
      <c r="K23" s="5"/>
    </row>
    <row r="24" spans="1:11" ht="15" x14ac:dyDescent="0.45">
      <c r="A24" s="5"/>
      <c r="B24" s="5"/>
      <c r="C24" s="5"/>
      <c r="D24" s="5"/>
      <c r="E24" s="5"/>
      <c r="F24" s="5"/>
      <c r="G24" s="5"/>
      <c r="H24" s="5"/>
      <c r="I24" s="5">
        <v>6</v>
      </c>
      <c r="J24" s="5">
        <v>-82.87351574015338</v>
      </c>
      <c r="K24" s="5"/>
    </row>
    <row r="25" spans="1:11" ht="15" x14ac:dyDescent="0.45">
      <c r="A25" s="5"/>
      <c r="B25" s="5"/>
      <c r="C25" s="5"/>
      <c r="D25" s="5"/>
      <c r="E25" s="5"/>
      <c r="F25" s="5"/>
      <c r="G25" s="5"/>
      <c r="H25" s="5"/>
      <c r="I25" s="5">
        <v>7</v>
      </c>
      <c r="J25" s="5">
        <v>-96.692291993269464</v>
      </c>
      <c r="K25" s="5"/>
    </row>
    <row r="26" spans="1:11" ht="15" x14ac:dyDescent="0.45">
      <c r="A26" s="5"/>
      <c r="B26" s="5"/>
      <c r="C26" s="5"/>
      <c r="D26" s="5"/>
      <c r="E26" s="5"/>
      <c r="F26" s="5"/>
      <c r="G26" s="5"/>
      <c r="H26" s="5"/>
      <c r="I26" s="5">
        <v>8</v>
      </c>
      <c r="J26" s="5">
        <v>-110.51293281023391</v>
      </c>
      <c r="K26" s="5"/>
    </row>
    <row r="27" spans="1:11" ht="15" x14ac:dyDescent="0.45">
      <c r="A27" s="5"/>
      <c r="B27" s="5"/>
      <c r="C27" s="5"/>
      <c r="D27" s="5"/>
      <c r="E27" s="5"/>
      <c r="F27" s="5"/>
      <c r="G27" s="5"/>
      <c r="H27" s="5"/>
      <c r="I27" s="5">
        <v>9</v>
      </c>
      <c r="J27" s="5">
        <v>-124.33543844263477</v>
      </c>
      <c r="K27" s="5"/>
    </row>
    <row r="28" spans="1:11" ht="15" x14ac:dyDescent="0.45">
      <c r="A28" s="5"/>
      <c r="B28" s="5"/>
      <c r="C28" s="5"/>
      <c r="D28" s="5"/>
      <c r="E28" s="5"/>
      <c r="F28" s="5"/>
      <c r="G28" s="5"/>
      <c r="H28" s="5"/>
      <c r="I28" s="5">
        <v>10</v>
      </c>
      <c r="J28" s="5">
        <v>-138.15980914207466</v>
      </c>
      <c r="K28" s="5"/>
    </row>
    <row r="29" spans="1:11" ht="15" x14ac:dyDescent="0.45">
      <c r="A29" s="5"/>
      <c r="B29" s="5"/>
      <c r="C29" s="5"/>
      <c r="D29" s="5"/>
      <c r="E29" s="5"/>
      <c r="F29" s="5"/>
      <c r="G29" s="5"/>
      <c r="H29" s="5"/>
      <c r="I29" s="5">
        <v>11</v>
      </c>
      <c r="J29" s="5">
        <v>-151.98604516022897</v>
      </c>
      <c r="K29" s="5"/>
    </row>
    <row r="30" spans="1:11" ht="15" x14ac:dyDescent="0.45">
      <c r="A30" s="5"/>
      <c r="B30" s="5"/>
      <c r="C30" s="5"/>
      <c r="D30" s="5"/>
      <c r="E30" s="5"/>
      <c r="F30" s="5"/>
      <c r="G30" s="5"/>
      <c r="H30" s="5"/>
      <c r="I30" s="5">
        <v>12</v>
      </c>
      <c r="J30" s="5">
        <v>-165.81414674877306</v>
      </c>
      <c r="K30" s="5"/>
    </row>
    <row r="31" spans="1:11" ht="15" x14ac:dyDescent="0.45">
      <c r="A31" s="5"/>
      <c r="B31" s="5"/>
      <c r="C31" s="5"/>
      <c r="D31" s="5"/>
      <c r="E31" s="5"/>
      <c r="F31" s="5"/>
      <c r="G31" s="5"/>
      <c r="H31" s="5"/>
      <c r="I31" s="5">
        <v>13</v>
      </c>
      <c r="J31" s="5">
        <v>-179.64411415942595</v>
      </c>
      <c r="K31" s="5"/>
    </row>
    <row r="32" spans="1:11" ht="15" x14ac:dyDescent="0.45">
      <c r="A32" s="5"/>
      <c r="B32" s="5"/>
      <c r="C32" s="5"/>
      <c r="D32" s="5"/>
      <c r="E32" s="5"/>
      <c r="F32" s="5"/>
      <c r="G32" s="5"/>
      <c r="H32" s="5"/>
      <c r="I32" s="5">
        <v>14</v>
      </c>
      <c r="J32" s="5">
        <v>-193.47594764395035</v>
      </c>
      <c r="K32" s="5"/>
    </row>
    <row r="33" spans="1:11" ht="15" x14ac:dyDescent="0.45">
      <c r="A33" s="5"/>
      <c r="B33" s="5"/>
      <c r="C33" s="5"/>
      <c r="D33" s="5"/>
      <c r="E33" s="5"/>
      <c r="F33" s="5"/>
      <c r="G33" s="5"/>
      <c r="H33" s="5"/>
      <c r="I33" s="5">
        <v>15</v>
      </c>
      <c r="J33" s="5">
        <v>-207.30964745412348</v>
      </c>
      <c r="K33" s="5"/>
    </row>
    <row r="34" spans="1:11" ht="15" x14ac:dyDescent="0.45">
      <c r="A34" s="5"/>
      <c r="B34" s="5"/>
      <c r="C34" s="5"/>
      <c r="D34" s="5"/>
      <c r="E34" s="5"/>
      <c r="F34" s="5"/>
      <c r="G34" s="5"/>
      <c r="H34" s="5"/>
      <c r="I34" s="5">
        <v>16</v>
      </c>
      <c r="J34" s="5">
        <v>-221.14521384178079</v>
      </c>
      <c r="K34" s="5"/>
    </row>
    <row r="35" spans="1:11" ht="15" x14ac:dyDescent="0.45">
      <c r="A35" s="5"/>
      <c r="B35" s="5"/>
      <c r="C35" s="5"/>
      <c r="D35" s="5"/>
      <c r="E35" s="5"/>
      <c r="F35" s="5"/>
      <c r="G35" s="5"/>
      <c r="H35" s="5"/>
      <c r="I35" s="5">
        <v>17</v>
      </c>
      <c r="J35" s="5">
        <v>-234.98264705877227</v>
      </c>
      <c r="K35" s="5"/>
    </row>
    <row r="36" spans="1:11" ht="15" x14ac:dyDescent="0.45">
      <c r="A36" s="5"/>
      <c r="B36" s="5"/>
      <c r="C36" s="5"/>
      <c r="D36" s="5"/>
      <c r="E36" s="5"/>
      <c r="F36" s="5"/>
      <c r="G36" s="5"/>
      <c r="H36" s="5"/>
      <c r="I36" s="5">
        <v>18</v>
      </c>
      <c r="J36" s="5">
        <v>-248.82194735699159</v>
      </c>
      <c r="K36" s="5"/>
    </row>
    <row r="37" spans="1:11" ht="15" x14ac:dyDescent="0.45">
      <c r="A37" s="5"/>
      <c r="B37" s="5"/>
      <c r="C37" s="5"/>
      <c r="D37" s="5"/>
      <c r="E37" s="5"/>
      <c r="F37" s="5"/>
      <c r="G37" s="5"/>
      <c r="H37" s="5"/>
      <c r="I37" s="5">
        <v>19</v>
      </c>
      <c r="J37" s="5">
        <v>-262.66311498836149</v>
      </c>
      <c r="K37" s="5"/>
    </row>
    <row r="38" spans="1:11" ht="15" x14ac:dyDescent="0.45">
      <c r="A38" s="5"/>
      <c r="B38" s="5"/>
      <c r="C38" s="5"/>
      <c r="D38" s="5"/>
      <c r="E38" s="5"/>
      <c r="F38" s="5"/>
      <c r="G38" s="5"/>
      <c r="H38" s="5"/>
      <c r="I38" s="5">
        <v>20</v>
      </c>
      <c r="J38" s="5">
        <v>-276.50615020483383</v>
      </c>
      <c r="K38" s="5"/>
    </row>
    <row r="39" spans="1:11" ht="15" x14ac:dyDescent="0.45">
      <c r="A39" s="5"/>
      <c r="B39" s="5"/>
      <c r="C39" s="5"/>
      <c r="D39" s="5"/>
      <c r="E39" s="5"/>
      <c r="F39" s="5"/>
      <c r="G39" s="5"/>
      <c r="H39" s="5"/>
      <c r="I39" s="5">
        <v>21</v>
      </c>
      <c r="J39" s="5">
        <v>-290.35105325841869</v>
      </c>
      <c r="K39" s="5"/>
    </row>
    <row r="40" spans="1:11" ht="15" x14ac:dyDescent="0.45">
      <c r="A40" s="5"/>
      <c r="B40" s="5"/>
      <c r="C40" s="5"/>
      <c r="D40" s="5"/>
      <c r="E40" s="5"/>
      <c r="F40" s="5"/>
      <c r="G40" s="5"/>
      <c r="H40" s="5"/>
      <c r="I40" s="5">
        <v>22</v>
      </c>
      <c r="J40" s="5">
        <v>-304.19782440112613</v>
      </c>
      <c r="K40" s="5"/>
    </row>
    <row r="41" spans="1:11" ht="15" x14ac:dyDescent="0.45">
      <c r="A41" s="5"/>
      <c r="B41" s="5"/>
      <c r="C41" s="5"/>
      <c r="D41" s="5"/>
      <c r="E41" s="5"/>
      <c r="F41" s="5"/>
      <c r="G41" s="5"/>
      <c r="H41" s="5"/>
      <c r="I41" s="5">
        <v>23</v>
      </c>
      <c r="J41" s="5">
        <v>-318.04646388502442</v>
      </c>
      <c r="K41" s="5"/>
    </row>
    <row r="42" spans="1:11" ht="15" x14ac:dyDescent="0.45">
      <c r="A42" s="5"/>
      <c r="B42" s="5"/>
      <c r="C42" s="5"/>
      <c r="D42" s="5"/>
      <c r="E42" s="5"/>
      <c r="F42" s="5"/>
      <c r="G42" s="5"/>
      <c r="H42" s="5"/>
      <c r="I42" s="5">
        <v>24</v>
      </c>
      <c r="J42" s="5">
        <v>-331.89697196221096</v>
      </c>
      <c r="K42" s="5"/>
    </row>
    <row r="43" spans="1:11" ht="15" x14ac:dyDescent="0.45">
      <c r="A43" s="5"/>
      <c r="B43" s="5"/>
      <c r="C43" s="5"/>
      <c r="D43" s="5"/>
      <c r="E43" s="5"/>
      <c r="F43" s="5"/>
      <c r="G43" s="5"/>
      <c r="H43" s="5"/>
      <c r="I43" s="5">
        <v>25</v>
      </c>
      <c r="J43" s="5">
        <v>-345.74934888481221</v>
      </c>
      <c r="K43" s="5"/>
    </row>
    <row r="44" spans="1:11" ht="15" x14ac:dyDescent="0.45">
      <c r="A44" s="5"/>
      <c r="B44" s="5"/>
      <c r="C44" s="5"/>
      <c r="D44" s="5"/>
      <c r="E44" s="5"/>
      <c r="F44" s="5"/>
      <c r="G44" s="5"/>
      <c r="H44" s="5"/>
      <c r="I44" s="5">
        <v>26</v>
      </c>
      <c r="J44" s="5">
        <v>-359.60359490498377</v>
      </c>
      <c r="K44" s="5"/>
    </row>
    <row r="45" spans="1:11" ht="15" x14ac:dyDescent="0.45">
      <c r="A45" s="5"/>
      <c r="B45" s="5"/>
      <c r="C45" s="5"/>
      <c r="D45" s="5"/>
      <c r="E45" s="5"/>
      <c r="F45" s="5"/>
      <c r="G45" s="5"/>
      <c r="H45" s="5"/>
      <c r="I45" s="5">
        <v>27</v>
      </c>
      <c r="J45" s="5">
        <v>-373.45971027493943</v>
      </c>
      <c r="K45" s="5"/>
    </row>
    <row r="46" spans="1:11" ht="15" x14ac:dyDescent="0.45">
      <c r="A46" s="5"/>
      <c r="B46" s="5"/>
      <c r="C46" s="5"/>
      <c r="D46" s="5"/>
      <c r="E46" s="5"/>
      <c r="F46" s="5"/>
      <c r="G46" s="5"/>
      <c r="H46" s="5"/>
      <c r="I46" s="5">
        <v>28</v>
      </c>
      <c r="J46" s="5">
        <v>-387.31769524689298</v>
      </c>
      <c r="K46" s="5"/>
    </row>
    <row r="47" spans="1:11" ht="15" x14ac:dyDescent="0.45">
      <c r="A47" s="5"/>
      <c r="B47" s="5"/>
      <c r="C47" s="5"/>
      <c r="D47" s="5"/>
      <c r="E47" s="5"/>
      <c r="F47" s="5"/>
      <c r="G47" s="5"/>
      <c r="H47" s="5"/>
      <c r="I47" s="5">
        <v>29</v>
      </c>
      <c r="J47" s="5">
        <v>-401.17755007311644</v>
      </c>
      <c r="K47" s="5"/>
    </row>
    <row r="48" spans="1:11" ht="15" x14ac:dyDescent="0.45">
      <c r="A48" s="5"/>
      <c r="B48" s="5"/>
      <c r="C48" s="5"/>
      <c r="D48" s="5"/>
      <c r="E48" s="5"/>
      <c r="F48" s="5"/>
      <c r="G48" s="5"/>
      <c r="H48" s="5"/>
      <c r="I48" s="5">
        <v>30</v>
      </c>
      <c r="J48" s="5">
        <v>-415.03927500591089</v>
      </c>
      <c r="K48" s="5"/>
    </row>
    <row r="49" spans="1:11" ht="15" x14ac:dyDescent="0.45">
      <c r="A49" s="5"/>
      <c r="B49" s="5"/>
      <c r="C49" s="5"/>
      <c r="D49" s="5"/>
      <c r="E49" s="5"/>
      <c r="F49" s="5"/>
      <c r="G49" s="5"/>
      <c r="H49" s="5"/>
      <c r="I49" s="5">
        <v>31</v>
      </c>
      <c r="J49" s="5">
        <v>-428.90287029760657</v>
      </c>
      <c r="K49" s="5"/>
    </row>
    <row r="50" spans="1:11" ht="15" x14ac:dyDescent="0.45">
      <c r="A50" s="5"/>
      <c r="B50" s="5"/>
      <c r="C50" s="5"/>
      <c r="D50" s="5"/>
      <c r="E50" s="5"/>
      <c r="F50" s="5"/>
      <c r="G50" s="5"/>
      <c r="H50" s="5"/>
      <c r="I50" s="5">
        <v>32</v>
      </c>
      <c r="J50" s="5">
        <v>-442.76833620056277</v>
      </c>
      <c r="K50" s="5"/>
    </row>
    <row r="51" spans="1:11" ht="15" x14ac:dyDescent="0.45">
      <c r="A51" s="5"/>
      <c r="B51" s="5"/>
      <c r="C51" s="5"/>
      <c r="D51" s="5"/>
      <c r="E51" s="5"/>
      <c r="F51" s="5"/>
      <c r="G51" s="5"/>
      <c r="H51" s="5"/>
      <c r="I51" s="5">
        <v>33</v>
      </c>
      <c r="J51" s="5">
        <v>-456.63567296719702</v>
      </c>
      <c r="K51" s="5"/>
    </row>
    <row r="52" spans="1:11" ht="15" x14ac:dyDescent="0.45">
      <c r="A52" s="5"/>
      <c r="B52" s="5"/>
      <c r="C52" s="5"/>
      <c r="D52" s="5"/>
      <c r="E52" s="5"/>
      <c r="F52" s="5"/>
      <c r="G52" s="5"/>
      <c r="H52" s="5"/>
      <c r="I52" s="5">
        <v>34</v>
      </c>
      <c r="J52" s="5">
        <v>-470.50488084992685</v>
      </c>
      <c r="K52" s="5"/>
    </row>
    <row r="53" spans="1:11" ht="15" x14ac:dyDescent="0.45">
      <c r="A53" s="5"/>
      <c r="B53" s="5"/>
      <c r="C53" s="5"/>
      <c r="D53" s="5"/>
      <c r="E53" s="5"/>
      <c r="F53" s="5"/>
      <c r="G53" s="5"/>
      <c r="H53" s="5"/>
      <c r="I53" s="5">
        <v>35</v>
      </c>
      <c r="J53" s="5">
        <v>-484.37596010124253</v>
      </c>
      <c r="K53" s="5"/>
    </row>
    <row r="54" spans="1:11" ht="15" x14ac:dyDescent="0.45">
      <c r="A54" s="5"/>
      <c r="B54" s="5"/>
      <c r="C54" s="5"/>
      <c r="D54" s="5"/>
      <c r="E54" s="5"/>
      <c r="F54" s="5"/>
      <c r="G54" s="5"/>
      <c r="H54" s="5"/>
      <c r="I54" s="5">
        <v>36</v>
      </c>
      <c r="J54" s="5">
        <v>-498.24891097363434</v>
      </c>
      <c r="K54" s="5"/>
    </row>
    <row r="55" spans="1:11" ht="15" x14ac:dyDescent="0.45">
      <c r="A55" s="5"/>
      <c r="B55" s="5"/>
      <c r="C55" s="5"/>
      <c r="D55" s="5"/>
      <c r="E55" s="5"/>
      <c r="F55" s="5"/>
      <c r="G55" s="5"/>
      <c r="H55" s="5"/>
      <c r="I55" s="5">
        <v>37</v>
      </c>
      <c r="J55" s="5">
        <v>-512.12373371963622</v>
      </c>
      <c r="K55" s="5"/>
    </row>
    <row r="56" spans="1:11" ht="15" x14ac:dyDescent="0.45">
      <c r="A56" s="5"/>
      <c r="B56" s="5"/>
      <c r="C56" s="5"/>
      <c r="D56" s="5"/>
      <c r="E56" s="5"/>
      <c r="F56" s="5"/>
      <c r="G56" s="5"/>
      <c r="H56" s="5"/>
      <c r="I56" s="5">
        <v>38</v>
      </c>
      <c r="J56" s="5">
        <v>-526.00042859182577</v>
      </c>
      <c r="K56" s="5"/>
    </row>
    <row r="57" spans="1:11" ht="15" x14ac:dyDescent="0.45">
      <c r="A57" s="5"/>
      <c r="B57" s="5"/>
      <c r="C57" s="5"/>
      <c r="D57" s="5"/>
      <c r="E57" s="5"/>
      <c r="F57" s="5"/>
      <c r="G57" s="5"/>
      <c r="H57" s="5"/>
      <c r="I57" s="5">
        <v>39</v>
      </c>
      <c r="J57" s="5">
        <v>-539.87899584280967</v>
      </c>
      <c r="K57" s="5"/>
    </row>
    <row r="58" spans="1:11" ht="15" x14ac:dyDescent="0.45">
      <c r="A58" s="5"/>
      <c r="B58" s="5"/>
      <c r="C58" s="5"/>
      <c r="D58" s="5"/>
      <c r="E58" s="5"/>
      <c r="F58" s="5"/>
      <c r="G58" s="5"/>
      <c r="H58" s="5"/>
      <c r="I58" s="5">
        <v>40</v>
      </c>
      <c r="J58" s="5">
        <v>-553.75943572522374</v>
      </c>
      <c r="K58" s="5"/>
    </row>
    <row r="59" spans="1:11" ht="15" x14ac:dyDescent="0.45">
      <c r="A59" s="5"/>
      <c r="B59" s="5"/>
      <c r="C59" s="5"/>
      <c r="D59" s="5"/>
      <c r="E59" s="5"/>
      <c r="F59" s="5"/>
      <c r="G59" s="5"/>
      <c r="H59" s="5"/>
      <c r="I59" s="5">
        <v>41</v>
      </c>
      <c r="J59" s="5">
        <v>-567.64174849173287</v>
      </c>
      <c r="K59" s="5"/>
    </row>
    <row r="60" spans="1:11" ht="15" x14ac:dyDescent="0.45">
      <c r="A60" s="5"/>
      <c r="B60" s="5"/>
      <c r="C60" s="5"/>
      <c r="D60" s="5"/>
      <c r="E60" s="5"/>
      <c r="F60" s="5"/>
      <c r="G60" s="5"/>
      <c r="H60" s="5"/>
      <c r="I60" s="5">
        <v>42</v>
      </c>
      <c r="J60" s="5">
        <v>-581.52593439506018</v>
      </c>
      <c r="K60" s="5"/>
    </row>
    <row r="61" spans="1:11" ht="15" x14ac:dyDescent="0.45">
      <c r="A61" s="5"/>
      <c r="B61" s="5"/>
      <c r="C61" s="5"/>
      <c r="D61" s="5"/>
      <c r="E61" s="5"/>
      <c r="F61" s="5"/>
      <c r="G61" s="5"/>
      <c r="H61" s="5"/>
      <c r="I61" s="5">
        <v>43</v>
      </c>
      <c r="J61" s="5">
        <v>-595.41199368794332</v>
      </c>
      <c r="K61" s="5"/>
    </row>
    <row r="62" spans="1:11" ht="15" x14ac:dyDescent="0.45">
      <c r="A62" s="5"/>
      <c r="B62" s="5"/>
      <c r="C62" s="5"/>
      <c r="D62" s="5"/>
      <c r="E62" s="5"/>
      <c r="F62" s="5"/>
      <c r="G62" s="5"/>
      <c r="H62" s="5"/>
      <c r="I62" s="5">
        <v>44</v>
      </c>
      <c r="J62" s="5">
        <v>-609.29992662314908</v>
      </c>
      <c r="K62" s="5"/>
    </row>
    <row r="63" spans="1:11" ht="15" x14ac:dyDescent="0.45">
      <c r="A63" s="5"/>
      <c r="B63" s="5"/>
      <c r="C63" s="5"/>
      <c r="D63" s="5"/>
      <c r="E63" s="5"/>
      <c r="F63" s="5"/>
      <c r="G63" s="5"/>
      <c r="H63" s="5"/>
      <c r="I63" s="5">
        <v>45</v>
      </c>
      <c r="J63" s="5">
        <v>-623.18973345350241</v>
      </c>
      <c r="K63" s="5"/>
    </row>
    <row r="64" spans="1:11" ht="15" x14ac:dyDescent="0.45">
      <c r="A64" s="5"/>
      <c r="B64" s="5"/>
      <c r="C64" s="5"/>
      <c r="D64" s="5"/>
      <c r="E64" s="5"/>
      <c r="F64" s="5"/>
      <c r="G64" s="5"/>
      <c r="H64" s="5"/>
      <c r="I64" s="5">
        <v>46</v>
      </c>
      <c r="J64" s="5">
        <v>-637.08141443182831</v>
      </c>
      <c r="K64" s="5"/>
    </row>
    <row r="65" spans="1:11" ht="15" x14ac:dyDescent="0.45">
      <c r="A65" s="5"/>
      <c r="B65" s="5"/>
      <c r="C65" s="5"/>
      <c r="D65" s="5"/>
      <c r="E65" s="5"/>
      <c r="F65" s="5"/>
      <c r="G65" s="5"/>
      <c r="H65" s="5"/>
      <c r="I65" s="5">
        <v>47</v>
      </c>
      <c r="J65" s="5">
        <v>-650.97496981102449</v>
      </c>
      <c r="K65" s="5"/>
    </row>
    <row r="66" spans="1:11" ht="15" x14ac:dyDescent="0.45">
      <c r="A66" s="5"/>
      <c r="B66" s="5"/>
      <c r="C66" s="5"/>
      <c r="D66" s="5"/>
      <c r="E66" s="5"/>
      <c r="F66" s="5"/>
      <c r="G66" s="5"/>
      <c r="H66" s="5"/>
      <c r="I66" s="5">
        <v>48</v>
      </c>
      <c r="J66" s="5">
        <v>-664.87039984398871</v>
      </c>
      <c r="K66" s="5"/>
    </row>
    <row r="67" spans="1:11" ht="15" x14ac:dyDescent="0.45">
      <c r="A67" s="5"/>
      <c r="B67" s="5"/>
      <c r="C67" s="5"/>
      <c r="D67" s="5"/>
      <c r="E67" s="5"/>
      <c r="F67" s="5"/>
      <c r="G67" s="5"/>
      <c r="H67" s="5"/>
      <c r="I67" s="5">
        <v>49</v>
      </c>
      <c r="J67" s="5">
        <v>-678.76770478367689</v>
      </c>
      <c r="K67" s="5"/>
    </row>
    <row r="68" spans="1:11" ht="15" x14ac:dyDescent="0.45">
      <c r="A68" s="5"/>
      <c r="B68" s="5"/>
      <c r="C68" s="5"/>
      <c r="D68" s="5"/>
      <c r="E68" s="5"/>
      <c r="F68" s="5"/>
      <c r="G68" s="5"/>
      <c r="H68" s="5"/>
      <c r="I68" s="5">
        <v>50</v>
      </c>
      <c r="J68" s="5">
        <v>-692.66688488307409</v>
      </c>
      <c r="K68" s="5"/>
    </row>
    <row r="69" spans="1:11" ht="15" x14ac:dyDescent="0.45">
      <c r="A69" s="5"/>
      <c r="B69" s="5"/>
      <c r="C69" s="5"/>
      <c r="D69" s="5"/>
      <c r="E69" s="5"/>
      <c r="F69" s="5"/>
      <c r="G69" s="5"/>
      <c r="H69" s="5"/>
      <c r="I69" s="5">
        <v>51</v>
      </c>
      <c r="J69" s="5">
        <v>-706.5679403951799</v>
      </c>
      <c r="K69" s="5"/>
    </row>
    <row r="70" spans="1:11" ht="15" x14ac:dyDescent="0.45">
      <c r="A70" s="5"/>
      <c r="B70" s="5"/>
      <c r="C70" s="5"/>
      <c r="D70" s="5"/>
      <c r="E70" s="5"/>
      <c r="F70" s="5"/>
      <c r="G70" s="5"/>
      <c r="H70" s="5"/>
      <c r="I70" s="5">
        <v>52</v>
      </c>
      <c r="J70" s="5">
        <v>-720.47087157305214</v>
      </c>
      <c r="K70" s="5"/>
    </row>
    <row r="71" spans="1:11" ht="15" x14ac:dyDescent="0.45">
      <c r="A71" s="5"/>
      <c r="B71" s="5"/>
      <c r="C71" s="5"/>
      <c r="D71" s="5"/>
      <c r="E71" s="5"/>
      <c r="F71" s="5"/>
      <c r="G71" s="5"/>
      <c r="H71" s="5"/>
      <c r="I71" s="5">
        <v>53</v>
      </c>
      <c r="J71" s="5">
        <v>-734.3756786697777</v>
      </c>
      <c r="K71" s="5"/>
    </row>
    <row r="72" spans="1:11" ht="15" x14ac:dyDescent="0.45">
      <c r="A72" s="5"/>
      <c r="B72" s="5"/>
      <c r="C72" s="5"/>
      <c r="D72" s="5"/>
      <c r="E72" s="5"/>
      <c r="F72" s="5"/>
      <c r="G72" s="5"/>
      <c r="H72" s="5"/>
      <c r="I72" s="5">
        <v>54</v>
      </c>
      <c r="J72" s="5">
        <v>-748.2823619384726</v>
      </c>
      <c r="K72" s="5"/>
    </row>
    <row r="73" spans="1:11" ht="15" x14ac:dyDescent="0.45">
      <c r="A73" s="5"/>
      <c r="B73" s="5"/>
      <c r="C73" s="5"/>
      <c r="D73" s="5"/>
      <c r="E73" s="5"/>
      <c r="F73" s="5"/>
      <c r="G73" s="5"/>
      <c r="H73" s="5"/>
      <c r="I73" s="5">
        <v>55</v>
      </c>
      <c r="J73" s="5">
        <v>-762.19092163228197</v>
      </c>
      <c r="K73" s="5"/>
    </row>
    <row r="74" spans="1:11" ht="15" x14ac:dyDescent="0.45">
      <c r="A74" s="5"/>
      <c r="B74" s="5"/>
      <c r="C74" s="5"/>
      <c r="D74" s="5"/>
      <c r="E74" s="5"/>
      <c r="F74" s="5"/>
      <c r="G74" s="5"/>
      <c r="H74" s="5"/>
      <c r="I74" s="5">
        <v>56</v>
      </c>
      <c r="J74" s="5">
        <v>-776.10135800439457</v>
      </c>
      <c r="K74" s="5"/>
    </row>
    <row r="75" spans="1:11" ht="15" x14ac:dyDescent="0.45">
      <c r="A75" s="5"/>
      <c r="B75" s="5"/>
      <c r="C75" s="5"/>
      <c r="D75" s="5"/>
      <c r="E75" s="5"/>
      <c r="F75" s="5"/>
      <c r="G75" s="5"/>
      <c r="H75" s="5"/>
      <c r="I75" s="5">
        <v>57</v>
      </c>
      <c r="J75" s="5">
        <v>-790.01367130802828</v>
      </c>
      <c r="K75" s="5"/>
    </row>
    <row r="76" spans="1:11" ht="15" x14ac:dyDescent="0.45">
      <c r="A76" s="5"/>
      <c r="B76" s="5"/>
      <c r="C76" s="5"/>
      <c r="D76" s="5"/>
      <c r="E76" s="5"/>
      <c r="F76" s="5"/>
      <c r="G76" s="5"/>
      <c r="H76" s="5"/>
      <c r="I76" s="5">
        <v>58</v>
      </c>
      <c r="J76" s="5">
        <v>-803.92786179644463</v>
      </c>
      <c r="K76" s="5"/>
    </row>
    <row r="77" spans="1:11" ht="15" x14ac:dyDescent="0.45">
      <c r="A77" s="5"/>
      <c r="B77" s="5"/>
      <c r="C77" s="5"/>
      <c r="D77" s="5"/>
      <c r="E77" s="5"/>
      <c r="F77" s="5"/>
      <c r="G77" s="5"/>
      <c r="H77" s="5"/>
      <c r="I77" s="5">
        <v>59</v>
      </c>
      <c r="J77" s="5">
        <v>-817.84392972291971</v>
      </c>
      <c r="K77" s="5"/>
    </row>
    <row r="78" spans="1:11" ht="15" x14ac:dyDescent="0.45">
      <c r="A78" s="5"/>
      <c r="B78" s="5"/>
      <c r="C78" s="5"/>
      <c r="D78" s="5"/>
      <c r="E78" s="5"/>
      <c r="F78" s="5"/>
      <c r="G78" s="5"/>
      <c r="H78" s="5"/>
      <c r="I78" s="5">
        <v>60</v>
      </c>
      <c r="J78" s="5">
        <v>-831.76187534078781</v>
      </c>
      <c r="K78" s="5"/>
    </row>
    <row r="79" spans="1:11" ht="15" x14ac:dyDescent="0.45">
      <c r="A79" s="5"/>
      <c r="B79" s="5"/>
      <c r="C79" s="5"/>
      <c r="D79" s="5"/>
      <c r="E79" s="5"/>
      <c r="F79" s="5"/>
      <c r="G79" s="5"/>
      <c r="H79" s="5"/>
      <c r="I79" s="5">
        <v>61</v>
      </c>
      <c r="J79" s="5">
        <v>-845.68169890339777</v>
      </c>
      <c r="K79" s="5"/>
    </row>
    <row r="80" spans="1:11" ht="15" x14ac:dyDescent="0.45">
      <c r="A80" s="5"/>
      <c r="B80" s="5"/>
      <c r="C80" s="5"/>
      <c r="D80" s="5"/>
      <c r="E80" s="5"/>
      <c r="F80" s="5"/>
      <c r="G80" s="5"/>
      <c r="H80" s="5"/>
      <c r="I80" s="5">
        <v>62</v>
      </c>
      <c r="J80" s="5">
        <v>-859.6034006641421</v>
      </c>
      <c r="K80" s="5"/>
    </row>
    <row r="81" spans="1:11" ht="15" x14ac:dyDescent="0.45">
      <c r="A81" s="5"/>
      <c r="B81" s="5"/>
      <c r="C81" s="5"/>
      <c r="D81" s="5"/>
      <c r="E81" s="5"/>
      <c r="F81" s="5"/>
      <c r="G81" s="5"/>
      <c r="H81" s="5"/>
      <c r="I81" s="5">
        <v>63</v>
      </c>
      <c r="J81" s="5">
        <v>-873.52698087644239</v>
      </c>
      <c r="K81" s="5"/>
    </row>
    <row r="82" spans="1:11" ht="15" x14ac:dyDescent="0.45">
      <c r="A82" s="5"/>
      <c r="B82" s="5"/>
      <c r="C82" s="5"/>
      <c r="D82" s="5"/>
      <c r="E82" s="5"/>
      <c r="F82" s="5"/>
      <c r="G82" s="5"/>
      <c r="H82" s="5"/>
      <c r="I82" s="5">
        <v>64</v>
      </c>
      <c r="J82" s="5">
        <v>-887.45243979376392</v>
      </c>
      <c r="K82" s="5"/>
    </row>
    <row r="83" spans="1:11" ht="15" x14ac:dyDescent="0.45">
      <c r="A83" s="5"/>
      <c r="B83" s="5"/>
      <c r="C83" s="5"/>
      <c r="D83" s="5"/>
      <c r="E83" s="5"/>
      <c r="F83" s="5"/>
      <c r="G83" s="5"/>
      <c r="H83" s="5"/>
      <c r="I83" s="5">
        <v>65</v>
      </c>
      <c r="J83" s="5">
        <v>-901.37977766958647</v>
      </c>
      <c r="K83" s="5"/>
    </row>
    <row r="84" spans="1:11" ht="15" x14ac:dyDescent="0.45">
      <c r="A84" s="5"/>
      <c r="B84" s="5"/>
      <c r="C84" s="5"/>
      <c r="D84" s="5"/>
      <c r="E84" s="5"/>
      <c r="F84" s="5"/>
      <c r="G84" s="5"/>
      <c r="H84" s="5"/>
      <c r="I84" s="5">
        <v>66</v>
      </c>
      <c r="J84" s="5">
        <v>-915.30899475744809</v>
      </c>
      <c r="K84" s="5"/>
    </row>
    <row r="85" spans="1:11" ht="15" x14ac:dyDescent="0.45">
      <c r="A85" s="5"/>
      <c r="B85" s="5"/>
      <c r="C85" s="5"/>
      <c r="D85" s="5"/>
      <c r="E85" s="5"/>
      <c r="F85" s="5"/>
      <c r="G85" s="5"/>
      <c r="H85" s="5"/>
      <c r="I85" s="5">
        <v>67</v>
      </c>
      <c r="J85" s="5">
        <v>-929.24009131091589</v>
      </c>
      <c r="K85" s="5"/>
    </row>
    <row r="86" spans="1:11" ht="15" x14ac:dyDescent="0.45">
      <c r="A86" s="5"/>
      <c r="B86" s="5"/>
      <c r="C86" s="5"/>
      <c r="D86" s="5"/>
      <c r="E86" s="5"/>
      <c r="F86" s="5"/>
      <c r="G86" s="5"/>
      <c r="H86" s="5"/>
      <c r="I86" s="5">
        <v>68</v>
      </c>
      <c r="J86" s="5">
        <v>-943.17306758358609</v>
      </c>
      <c r="K86" s="5"/>
    </row>
    <row r="87" spans="1:11" ht="15" x14ac:dyDescent="0.45">
      <c r="A87" s="5"/>
      <c r="B87" s="5"/>
      <c r="C87" s="5"/>
      <c r="D87" s="5"/>
      <c r="E87" s="5"/>
      <c r="F87" s="5"/>
      <c r="G87" s="5"/>
      <c r="H87" s="5"/>
      <c r="I87" s="5">
        <v>69</v>
      </c>
      <c r="J87" s="5">
        <v>-957.10792382906948</v>
      </c>
      <c r="K87" s="5"/>
    </row>
    <row r="88" spans="1:11" ht="15" x14ac:dyDescent="0.45">
      <c r="A88" s="5"/>
      <c r="B88" s="5"/>
      <c r="C88" s="5"/>
      <c r="D88" s="5"/>
      <c r="E88" s="5"/>
      <c r="F88" s="5"/>
      <c r="G88" s="5"/>
      <c r="H88" s="5"/>
      <c r="I88" s="5">
        <v>70</v>
      </c>
      <c r="J88" s="5">
        <v>-971.04466030104959</v>
      </c>
      <c r="K88" s="5"/>
    </row>
    <row r="89" spans="1:11" ht="15" x14ac:dyDescent="0.45">
      <c r="A89" s="5"/>
      <c r="B89" s="5"/>
      <c r="C89" s="5"/>
      <c r="D89" s="5"/>
      <c r="E89" s="5"/>
      <c r="F89" s="5"/>
      <c r="G89" s="5"/>
      <c r="H89" s="5"/>
      <c r="I89" s="5">
        <v>71</v>
      </c>
      <c r="J89" s="5">
        <v>-984.98327725320996</v>
      </c>
      <c r="K89" s="5"/>
    </row>
    <row r="90" spans="1:11" ht="15" x14ac:dyDescent="0.45">
      <c r="A90" s="5"/>
      <c r="B90" s="5"/>
      <c r="C90" s="5"/>
      <c r="D90" s="5"/>
      <c r="E90" s="5"/>
      <c r="F90" s="5"/>
      <c r="G90" s="5"/>
      <c r="H90" s="5"/>
      <c r="I90" s="5">
        <v>72</v>
      </c>
      <c r="J90" s="5">
        <v>-998.92377493929234</v>
      </c>
      <c r="K90" s="5"/>
    </row>
    <row r="91" spans="1:11" ht="15" x14ac:dyDescent="0.45">
      <c r="A91" s="5"/>
      <c r="B91" s="5"/>
      <c r="C91" s="5"/>
      <c r="D91" s="5"/>
      <c r="E91" s="5"/>
      <c r="F91" s="5"/>
      <c r="G91" s="5"/>
      <c r="H91" s="5"/>
      <c r="I91" s="5">
        <v>73</v>
      </c>
      <c r="J91" s="5">
        <v>-1012.8661536130676</v>
      </c>
      <c r="K91" s="5"/>
    </row>
    <row r="92" spans="1:11" ht="15" x14ac:dyDescent="0.45">
      <c r="A92" s="5"/>
      <c r="B92" s="5"/>
      <c r="C92" s="5"/>
      <c r="D92" s="5"/>
      <c r="E92" s="5"/>
      <c r="F92" s="5"/>
      <c r="G92" s="5"/>
      <c r="H92" s="5"/>
      <c r="I92" s="5">
        <v>74</v>
      </c>
      <c r="J92" s="5">
        <v>-1026.8104135283356</v>
      </c>
      <c r="K92" s="5"/>
    </row>
    <row r="93" spans="1:11" ht="15" x14ac:dyDescent="0.45">
      <c r="A93" s="5"/>
      <c r="B93" s="5"/>
      <c r="C93" s="5"/>
      <c r="D93" s="5"/>
      <c r="E93" s="5"/>
      <c r="F93" s="5"/>
      <c r="G93" s="5"/>
      <c r="H93" s="5"/>
      <c r="I93" s="5">
        <v>75</v>
      </c>
      <c r="J93" s="5">
        <v>-1040.7565549389255</v>
      </c>
      <c r="K93" s="5"/>
    </row>
    <row r="94" spans="1:11" ht="15" x14ac:dyDescent="0.45">
      <c r="A94" s="5"/>
      <c r="B94" s="5"/>
      <c r="C94" s="5"/>
      <c r="D94" s="5"/>
      <c r="E94" s="5"/>
      <c r="F94" s="5"/>
      <c r="G94" s="5"/>
      <c r="H94" s="5"/>
      <c r="I94" s="5">
        <v>76</v>
      </c>
      <c r="J94" s="5">
        <v>-1054.70457809871</v>
      </c>
      <c r="K94" s="5"/>
    </row>
    <row r="95" spans="1:11" ht="15" x14ac:dyDescent="0.45">
      <c r="A95" s="5"/>
      <c r="B95" s="5"/>
      <c r="C95" s="5"/>
      <c r="D95" s="5"/>
      <c r="E95" s="5"/>
      <c r="F95" s="5"/>
      <c r="G95" s="5"/>
      <c r="H95" s="5"/>
      <c r="I95" s="5">
        <v>77</v>
      </c>
      <c r="J95" s="5">
        <v>-1068.6544832615909</v>
      </c>
      <c r="K95" s="5"/>
    </row>
    <row r="96" spans="1:11" ht="15" x14ac:dyDescent="0.45">
      <c r="A96" s="5"/>
      <c r="B96" s="5"/>
      <c r="C96" s="5"/>
      <c r="D96" s="5"/>
      <c r="E96" s="5"/>
      <c r="F96" s="5"/>
      <c r="G96" s="5"/>
      <c r="H96" s="5"/>
      <c r="I96" s="5">
        <v>78</v>
      </c>
      <c r="J96" s="5">
        <v>-1082.6062706815137</v>
      </c>
      <c r="K96" s="5"/>
    </row>
    <row r="97" spans="1:11" ht="15" x14ac:dyDescent="0.45">
      <c r="A97" s="5"/>
      <c r="B97" s="5"/>
      <c r="C97" s="5"/>
      <c r="D97" s="5"/>
      <c r="E97" s="5"/>
      <c r="F97" s="5"/>
      <c r="G97" s="5"/>
      <c r="H97" s="5"/>
      <c r="I97" s="5">
        <v>79</v>
      </c>
      <c r="J97" s="5">
        <v>-1096.5599406124384</v>
      </c>
      <c r="K97" s="5"/>
    </row>
    <row r="98" spans="1:11" ht="15" x14ac:dyDescent="0.45">
      <c r="A98" s="5"/>
      <c r="B98" s="5"/>
      <c r="C98" s="5"/>
      <c r="D98" s="5"/>
      <c r="E98" s="5"/>
      <c r="F98" s="5"/>
      <c r="G98" s="5"/>
      <c r="H98" s="5"/>
      <c r="I98" s="5">
        <v>80</v>
      </c>
      <c r="J98" s="5">
        <v>-1110.5154933083832</v>
      </c>
      <c r="K98" s="5"/>
    </row>
    <row r="99" spans="1:11" ht="15" x14ac:dyDescent="0.45">
      <c r="A99" s="5"/>
      <c r="B99" s="5"/>
      <c r="C99" s="5"/>
      <c r="D99" s="5"/>
      <c r="E99" s="5"/>
      <c r="F99" s="5"/>
      <c r="G99" s="5"/>
      <c r="H99" s="5"/>
      <c r="I99" s="5">
        <v>81</v>
      </c>
      <c r="J99" s="5">
        <v>-1124.4729290233809</v>
      </c>
      <c r="K99" s="5"/>
    </row>
    <row r="100" spans="1:11" ht="15" x14ac:dyDescent="0.45">
      <c r="A100" s="5"/>
      <c r="B100" s="5"/>
      <c r="C100" s="5"/>
      <c r="D100" s="5"/>
      <c r="E100" s="5"/>
      <c r="F100" s="5"/>
      <c r="G100" s="5"/>
      <c r="H100" s="5"/>
      <c r="I100" s="5">
        <v>82</v>
      </c>
      <c r="J100" s="5">
        <v>-1138.4322480115079</v>
      </c>
      <c r="K100" s="5"/>
    </row>
    <row r="101" spans="1:11" ht="15" x14ac:dyDescent="0.45">
      <c r="A101" s="5"/>
      <c r="B101" s="5"/>
      <c r="C101" s="5"/>
      <c r="D101" s="5"/>
      <c r="E101" s="5"/>
      <c r="F101" s="5"/>
      <c r="G101" s="5"/>
      <c r="H101" s="5"/>
      <c r="I101" s="5">
        <v>83</v>
      </c>
      <c r="J101" s="5">
        <v>-1152.3934505268844</v>
      </c>
      <c r="K101" s="5"/>
    </row>
    <row r="102" spans="1:11" ht="15" x14ac:dyDescent="0.45">
      <c r="A102" s="5"/>
      <c r="B102" s="5"/>
      <c r="C102" s="5"/>
      <c r="D102" s="5"/>
      <c r="E102" s="5"/>
      <c r="F102" s="5"/>
      <c r="G102" s="5"/>
      <c r="H102" s="5"/>
      <c r="I102" s="5">
        <v>84</v>
      </c>
      <c r="J102" s="5">
        <v>-1166.356536823645</v>
      </c>
      <c r="K102" s="5"/>
    </row>
    <row r="103" spans="1:11" ht="15" x14ac:dyDescent="0.45">
      <c r="A103" s="5"/>
      <c r="B103" s="5"/>
      <c r="C103" s="5"/>
      <c r="D103" s="5"/>
      <c r="E103" s="5"/>
      <c r="F103" s="5"/>
      <c r="G103" s="5"/>
      <c r="H103" s="5"/>
      <c r="I103" s="5">
        <v>85</v>
      </c>
      <c r="J103" s="5">
        <v>-1180.321507155968</v>
      </c>
      <c r="K103" s="5"/>
    </row>
    <row r="104" spans="1:11" ht="15" x14ac:dyDescent="0.45">
      <c r="A104" s="5"/>
      <c r="B104" s="5"/>
      <c r="C104" s="5"/>
      <c r="D104" s="5"/>
      <c r="E104" s="5"/>
      <c r="F104" s="5"/>
      <c r="G104" s="5"/>
      <c r="H104" s="5"/>
      <c r="I104" s="5">
        <v>86</v>
      </c>
      <c r="J104" s="5">
        <v>-1194.2883617780608</v>
      </c>
      <c r="K104" s="5"/>
    </row>
    <row r="105" spans="1:11" ht="15" x14ac:dyDescent="0.45">
      <c r="A105" s="5"/>
      <c r="B105" s="5"/>
      <c r="C105" s="5"/>
      <c r="D105" s="5"/>
      <c r="E105" s="5"/>
      <c r="F105" s="5"/>
      <c r="G105" s="5"/>
      <c r="H105" s="5"/>
      <c r="I105" s="5">
        <v>87</v>
      </c>
      <c r="J105" s="5">
        <v>-1208.257100944189</v>
      </c>
      <c r="K105" s="5"/>
    </row>
    <row r="106" spans="1:11" ht="15" x14ac:dyDescent="0.45">
      <c r="A106" s="5"/>
      <c r="B106" s="5"/>
      <c r="C106" s="5"/>
      <c r="D106" s="5"/>
      <c r="E106" s="5"/>
      <c r="F106" s="5"/>
      <c r="G106" s="5"/>
      <c r="H106" s="5"/>
      <c r="I106" s="5">
        <v>88</v>
      </c>
      <c r="J106" s="5">
        <v>-1222.2277249086183</v>
      </c>
      <c r="K106" s="5"/>
    </row>
    <row r="107" spans="1:11" ht="15" x14ac:dyDescent="0.45">
      <c r="A107" s="5"/>
      <c r="B107" s="5"/>
      <c r="C107" s="5"/>
      <c r="D107" s="5"/>
      <c r="E107" s="5"/>
      <c r="F107" s="5"/>
      <c r="G107" s="5"/>
      <c r="H107" s="5"/>
      <c r="I107" s="5">
        <v>89</v>
      </c>
      <c r="J107" s="5">
        <v>-1236.2002339256578</v>
      </c>
      <c r="K107" s="5"/>
    </row>
    <row r="108" spans="1:11" ht="15" x14ac:dyDescent="0.45">
      <c r="A108" s="5"/>
      <c r="B108" s="5"/>
      <c r="C108" s="5"/>
      <c r="D108" s="5"/>
      <c r="E108" s="5"/>
      <c r="F108" s="5"/>
      <c r="G108" s="5"/>
      <c r="H108" s="5"/>
      <c r="I108" s="5">
        <v>90</v>
      </c>
      <c r="J108" s="5">
        <v>-1250.1746282496752</v>
      </c>
      <c r="K108" s="5"/>
    </row>
    <row r="109" spans="1:11" ht="15" x14ac:dyDescent="0.45">
      <c r="A109" s="5"/>
      <c r="B109" s="5"/>
      <c r="C109" s="5"/>
      <c r="D109" s="5"/>
      <c r="E109" s="5"/>
      <c r="F109" s="5"/>
      <c r="G109" s="5"/>
      <c r="H109" s="5"/>
      <c r="I109" s="5">
        <v>91</v>
      </c>
      <c r="J109" s="5">
        <v>-1264.1509081350378</v>
      </c>
      <c r="K109" s="5"/>
    </row>
    <row r="110" spans="1:11" ht="15" x14ac:dyDescent="0.45">
      <c r="A110" s="5"/>
      <c r="B110" s="5"/>
      <c r="C110" s="5"/>
      <c r="D110" s="5"/>
      <c r="E110" s="5"/>
      <c r="F110" s="5"/>
      <c r="G110" s="5"/>
      <c r="H110" s="5"/>
      <c r="I110" s="5">
        <v>92</v>
      </c>
      <c r="J110" s="5">
        <v>-1278.1290738361713</v>
      </c>
      <c r="K110" s="5"/>
    </row>
    <row r="111" spans="1:11" ht="15" x14ac:dyDescent="0.45">
      <c r="A111" s="5"/>
      <c r="B111" s="5"/>
      <c r="C111" s="5"/>
      <c r="D111" s="5"/>
      <c r="E111" s="5"/>
      <c r="F111" s="5"/>
      <c r="G111" s="5"/>
      <c r="H111" s="5"/>
      <c r="I111" s="5">
        <v>93</v>
      </c>
      <c r="J111" s="5">
        <v>-1292.1091256075306</v>
      </c>
      <c r="K111" s="5"/>
    </row>
    <row r="112" spans="1:11" ht="15" x14ac:dyDescent="0.45">
      <c r="A112" s="5"/>
      <c r="B112" s="5"/>
      <c r="C112" s="5"/>
      <c r="D112" s="5"/>
      <c r="E112" s="5"/>
      <c r="F112" s="5"/>
      <c r="G112" s="5"/>
      <c r="H112" s="5"/>
      <c r="I112" s="5">
        <v>94</v>
      </c>
      <c r="J112" s="5">
        <v>-1306.0910637035995</v>
      </c>
      <c r="K112" s="5"/>
    </row>
    <row r="113" spans="1:11" ht="15" x14ac:dyDescent="0.45">
      <c r="A113" s="5"/>
      <c r="B113" s="5"/>
      <c r="C113" s="5"/>
      <c r="D113" s="5"/>
      <c r="E113" s="5"/>
      <c r="F113" s="5"/>
      <c r="G113" s="5"/>
      <c r="H113" s="5"/>
      <c r="I113" s="5">
        <v>95</v>
      </c>
      <c r="J113" s="5">
        <v>-1320.0748883789056</v>
      </c>
      <c r="K113" s="5"/>
    </row>
    <row r="114" spans="1:11" ht="15" x14ac:dyDescent="0.45">
      <c r="A114" s="5"/>
      <c r="B114" s="5"/>
      <c r="C114" s="5"/>
      <c r="D114" s="5"/>
      <c r="E114" s="5"/>
      <c r="F114" s="5"/>
      <c r="G114" s="5"/>
      <c r="H114" s="5"/>
      <c r="I114" s="5">
        <v>96</v>
      </c>
      <c r="J114" s="5">
        <v>-1334.060599887991</v>
      </c>
      <c r="K114" s="5"/>
    </row>
    <row r="115" spans="1:11" ht="15" x14ac:dyDescent="0.45">
      <c r="A115" s="5"/>
      <c r="B115" s="5"/>
      <c r="C115" s="5"/>
      <c r="D115" s="5"/>
      <c r="E115" s="5"/>
      <c r="F115" s="5"/>
      <c r="G115" s="5"/>
      <c r="H115" s="5"/>
      <c r="I115" s="5">
        <v>97</v>
      </c>
      <c r="J115" s="5">
        <v>-1348.0481984854559</v>
      </c>
      <c r="K115" s="5"/>
    </row>
    <row r="116" spans="1:11" ht="15" x14ac:dyDescent="0.45">
      <c r="A116" s="5"/>
      <c r="B116" s="5"/>
      <c r="C116" s="5"/>
      <c r="D116" s="5"/>
      <c r="E116" s="5"/>
      <c r="F116" s="5"/>
      <c r="G116" s="5"/>
      <c r="H116" s="5"/>
      <c r="I116" s="5">
        <v>98</v>
      </c>
      <c r="J116" s="5">
        <v>-1362.0376844259299</v>
      </c>
      <c r="K116" s="5"/>
    </row>
    <row r="117" spans="1:11" ht="15" x14ac:dyDescent="0.45">
      <c r="A117" s="5"/>
      <c r="B117" s="5"/>
      <c r="C117" s="5"/>
      <c r="D117" s="5"/>
      <c r="E117" s="5"/>
      <c r="F117" s="5"/>
      <c r="G117" s="5"/>
      <c r="H117" s="5"/>
      <c r="I117" s="5">
        <v>99</v>
      </c>
      <c r="J117" s="5">
        <v>-1376.0290579640568</v>
      </c>
      <c r="K117" s="5"/>
    </row>
    <row r="118" spans="1:11" ht="15" x14ac:dyDescent="0.45">
      <c r="A118" s="5"/>
      <c r="B118" s="5"/>
      <c r="C118" s="5"/>
      <c r="D118" s="5"/>
      <c r="E118" s="5"/>
      <c r="F118" s="5"/>
      <c r="G118" s="5"/>
      <c r="H118" s="5"/>
      <c r="I118" s="5">
        <v>100</v>
      </c>
      <c r="J118" s="5">
        <v>-1390.0223193545389</v>
      </c>
      <c r="K118" s="5"/>
    </row>
    <row r="119" spans="1:11" ht="15" x14ac:dyDescent="0.45">
      <c r="A119" s="5"/>
      <c r="B119" s="5"/>
      <c r="C119" s="5"/>
      <c r="D119" s="5"/>
      <c r="E119" s="5"/>
      <c r="F119" s="5"/>
      <c r="G119" s="5"/>
      <c r="H119" s="5"/>
      <c r="I119" s="5">
        <v>101</v>
      </c>
      <c r="J119" s="5">
        <v>-1404.0174688521074</v>
      </c>
      <c r="K119" s="5"/>
    </row>
    <row r="120" spans="1:11" ht="15" x14ac:dyDescent="0.45">
      <c r="A120" s="5"/>
      <c r="B120" s="5"/>
      <c r="C120" s="5"/>
      <c r="D120" s="5"/>
      <c r="E120" s="5"/>
      <c r="F120" s="5"/>
      <c r="G120" s="5"/>
      <c r="H120" s="5"/>
      <c r="I120" s="5">
        <v>102</v>
      </c>
      <c r="J120" s="5">
        <v>-1418.0145067115081</v>
      </c>
      <c r="K120" s="5"/>
    </row>
    <row r="121" spans="1:11" ht="15" x14ac:dyDescent="0.45">
      <c r="A121" s="5"/>
      <c r="B121" s="5"/>
      <c r="C121" s="5"/>
      <c r="D121" s="5"/>
      <c r="E121" s="5"/>
      <c r="F121" s="5"/>
      <c r="G121" s="5"/>
      <c r="H121" s="5"/>
      <c r="I121" s="5">
        <v>103</v>
      </c>
      <c r="J121" s="5">
        <v>-1432.0134331875452</v>
      </c>
      <c r="K121" s="5"/>
    </row>
    <row r="122" spans="1:11" ht="15" x14ac:dyDescent="0.45">
      <c r="A122" s="5"/>
      <c r="B122" s="5"/>
      <c r="C122" s="5"/>
      <c r="D122" s="5"/>
      <c r="E122" s="5"/>
      <c r="F122" s="5"/>
      <c r="G122" s="5"/>
      <c r="H122" s="5"/>
      <c r="I122" s="5">
        <v>104</v>
      </c>
      <c r="J122" s="5">
        <v>-1446.0142485350516</v>
      </c>
      <c r="K122" s="5"/>
    </row>
    <row r="123" spans="1:11" ht="15" x14ac:dyDescent="0.45">
      <c r="A123" s="5"/>
      <c r="B123" s="5"/>
      <c r="C123" s="5"/>
      <c r="D123" s="5"/>
      <c r="E123" s="5"/>
      <c r="F123" s="5"/>
      <c r="G123" s="5"/>
      <c r="H123" s="5"/>
      <c r="I123" s="5">
        <v>105</v>
      </c>
      <c r="J123" s="5">
        <v>-1460.0169530089042</v>
      </c>
      <c r="K123" s="5"/>
    </row>
    <row r="124" spans="1:11" ht="15" x14ac:dyDescent="0.45">
      <c r="A124" s="5"/>
      <c r="B124" s="5"/>
      <c r="C124" s="5"/>
      <c r="D124" s="5"/>
      <c r="E124" s="5"/>
      <c r="F124" s="5"/>
      <c r="G124" s="5"/>
      <c r="H124" s="5"/>
      <c r="I124" s="5">
        <v>106</v>
      </c>
      <c r="J124" s="5">
        <v>-1474.0215468639799</v>
      </c>
      <c r="K124" s="5"/>
    </row>
    <row r="125" spans="1:11" ht="15" x14ac:dyDescent="0.45">
      <c r="A125" s="5"/>
      <c r="B125" s="5"/>
      <c r="C125" s="5"/>
      <c r="D125" s="5"/>
      <c r="E125" s="5"/>
      <c r="F125" s="5"/>
      <c r="G125" s="5"/>
      <c r="H125" s="5"/>
      <c r="I125" s="5">
        <v>107</v>
      </c>
      <c r="J125" s="5">
        <v>-1488.0280303552281</v>
      </c>
      <c r="K125" s="5"/>
    </row>
    <row r="126" spans="1:11" ht="15" x14ac:dyDescent="0.45">
      <c r="A126" s="5"/>
      <c r="B126" s="5"/>
      <c r="C126" s="5"/>
      <c r="D126" s="5"/>
      <c r="E126" s="5"/>
      <c r="F126" s="5"/>
      <c r="G126" s="5"/>
      <c r="H126" s="5"/>
      <c r="I126" s="5">
        <v>108</v>
      </c>
      <c r="J126" s="5">
        <v>-1502.036403737613</v>
      </c>
      <c r="K126" s="5"/>
    </row>
    <row r="127" spans="1:11" ht="15" x14ac:dyDescent="0.45">
      <c r="A127" s="5"/>
      <c r="B127" s="5"/>
      <c r="C127" s="5"/>
      <c r="D127" s="5"/>
      <c r="E127" s="5"/>
      <c r="F127" s="5"/>
      <c r="G127" s="5"/>
      <c r="H127" s="5"/>
      <c r="I127" s="5">
        <v>109</v>
      </c>
      <c r="J127" s="5">
        <v>-1516.0466672661278</v>
      </c>
      <c r="K127" s="5"/>
    </row>
    <row r="128" spans="1:11" ht="15" x14ac:dyDescent="0.45">
      <c r="A128" s="5"/>
      <c r="B128" s="5"/>
      <c r="C128" s="5"/>
      <c r="D128" s="5"/>
      <c r="E128" s="5"/>
      <c r="F128" s="5"/>
      <c r="G128" s="5"/>
      <c r="H128" s="5"/>
      <c r="I128" s="5">
        <v>110</v>
      </c>
      <c r="J128" s="5">
        <v>-1530.0588211958238</v>
      </c>
      <c r="K128" s="5"/>
    </row>
    <row r="129" spans="1:11" ht="15" x14ac:dyDescent="0.45">
      <c r="A129" s="5"/>
      <c r="B129" s="5"/>
      <c r="C129" s="5"/>
      <c r="D129" s="5"/>
      <c r="E129" s="5"/>
      <c r="F129" s="5"/>
      <c r="G129" s="5"/>
      <c r="H129" s="5"/>
      <c r="I129" s="5">
        <v>111</v>
      </c>
      <c r="J129" s="5">
        <v>-1544.0728657817672</v>
      </c>
      <c r="K129" s="5"/>
    </row>
    <row r="130" spans="1:11" ht="15" x14ac:dyDescent="0.45">
      <c r="A130" s="5"/>
      <c r="B130" s="5"/>
      <c r="C130" s="5"/>
      <c r="D130" s="5"/>
      <c r="E130" s="5"/>
      <c r="F130" s="5"/>
      <c r="G130" s="5"/>
      <c r="H130" s="5"/>
      <c r="I130" s="5">
        <v>112</v>
      </c>
      <c r="J130" s="5">
        <v>-1558.0888012790674</v>
      </c>
      <c r="K130" s="5"/>
    </row>
    <row r="131" spans="1:11" ht="15" x14ac:dyDescent="0.45">
      <c r="A131" s="5"/>
      <c r="B131" s="5"/>
      <c r="C131" s="5"/>
      <c r="D131" s="5"/>
      <c r="E131" s="5"/>
      <c r="F131" s="5"/>
      <c r="G131" s="5"/>
      <c r="H131" s="5"/>
      <c r="I131" s="5">
        <v>113</v>
      </c>
      <c r="J131" s="5">
        <v>-1572.1066279428487</v>
      </c>
      <c r="K131" s="5"/>
    </row>
    <row r="132" spans="1:11" ht="15" x14ac:dyDescent="0.45">
      <c r="A132" s="5"/>
      <c r="B132" s="5"/>
      <c r="C132" s="5"/>
      <c r="D132" s="5"/>
      <c r="E132" s="5"/>
      <c r="F132" s="5"/>
      <c r="G132" s="5"/>
      <c r="H132" s="5"/>
      <c r="I132" s="5">
        <v>114</v>
      </c>
      <c r="J132" s="5">
        <v>-1586.126346028308</v>
      </c>
      <c r="K132" s="5"/>
    </row>
    <row r="133" spans="1:11" ht="15" x14ac:dyDescent="0.45">
      <c r="A133" s="5"/>
      <c r="B133" s="5"/>
      <c r="C133" s="5"/>
      <c r="D133" s="5"/>
      <c r="E133" s="5"/>
      <c r="F133" s="5"/>
      <c r="G133" s="5"/>
      <c r="H133" s="5"/>
      <c r="I133" s="5">
        <v>115</v>
      </c>
      <c r="J133" s="5">
        <v>-1600.1479557906423</v>
      </c>
      <c r="K133" s="5"/>
    </row>
    <row r="134" spans="1:11" ht="15" x14ac:dyDescent="0.45">
      <c r="A134" s="5"/>
      <c r="B134" s="5"/>
      <c r="C134" s="5"/>
      <c r="D134" s="5"/>
      <c r="E134" s="5"/>
      <c r="F134" s="5"/>
      <c r="G134" s="5"/>
      <c r="H134" s="5"/>
      <c r="I134" s="5">
        <v>116</v>
      </c>
      <c r="J134" s="5">
        <v>-1614.1714574850921</v>
      </c>
      <c r="K134" s="5"/>
    </row>
    <row r="135" spans="1:11" ht="15" x14ac:dyDescent="0.45">
      <c r="A135" s="5"/>
      <c r="B135" s="5"/>
      <c r="C135" s="5"/>
      <c r="D135" s="5"/>
      <c r="E135" s="5"/>
      <c r="F135" s="5"/>
      <c r="G135" s="5"/>
      <c r="H135" s="5"/>
      <c r="I135" s="5">
        <v>117</v>
      </c>
      <c r="J135" s="5">
        <v>-1628.1968513669417</v>
      </c>
      <c r="K135" s="5"/>
    </row>
    <row r="136" spans="1:11" ht="15" x14ac:dyDescent="0.45">
      <c r="A136" s="5"/>
      <c r="B136" s="5"/>
      <c r="C136" s="5"/>
      <c r="D136" s="5"/>
      <c r="E136" s="5"/>
      <c r="F136" s="5"/>
      <c r="G136" s="5"/>
      <c r="H136" s="5"/>
      <c r="I136" s="5">
        <v>118</v>
      </c>
      <c r="J136" s="5">
        <v>-1642.2241376914899</v>
      </c>
      <c r="K136" s="5"/>
    </row>
    <row r="137" spans="1:11" ht="15" x14ac:dyDescent="0.45">
      <c r="A137" s="5"/>
      <c r="B137" s="5"/>
      <c r="C137" s="5"/>
      <c r="D137" s="5"/>
      <c r="E137" s="5"/>
      <c r="F137" s="5"/>
      <c r="G137" s="5"/>
      <c r="H137" s="5"/>
      <c r="I137" s="5">
        <v>119</v>
      </c>
      <c r="J137" s="5">
        <v>-1656.2533167141082</v>
      </c>
      <c r="K137" s="5"/>
    </row>
    <row r="138" spans="1:11" ht="15" x14ac:dyDescent="0.45">
      <c r="A138" s="5"/>
      <c r="B138" s="5"/>
      <c r="C138" s="5"/>
      <c r="D138" s="5"/>
      <c r="E138" s="5"/>
      <c r="F138" s="5"/>
      <c r="G138" s="5"/>
      <c r="H138" s="5"/>
      <c r="I138" s="5">
        <v>120</v>
      </c>
      <c r="J138" s="5">
        <v>102331.73536285758</v>
      </c>
      <c r="K138" s="5"/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alc_AM">
                <anchor moveWithCells="1" sizeWithCells="1">
                  <from>
                    <xdr:col>0</xdr:col>
                    <xdr:colOff>952500</xdr:colOff>
                    <xdr:row>14</xdr:row>
                    <xdr:rowOff>68580</xdr:rowOff>
                  </from>
                  <to>
                    <xdr:col>1</xdr:col>
                    <xdr:colOff>468630</xdr:colOff>
                    <xdr:row>15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500"/>
  <sheetViews>
    <sheetView workbookViewId="0">
      <selection activeCell="A2" sqref="A2"/>
    </sheetView>
  </sheetViews>
  <sheetFormatPr defaultRowHeight="14.7" x14ac:dyDescent="0.45"/>
  <cols>
    <col min="2" max="2" width="14.89453125" bestFit="1" customWidth="1"/>
    <col min="3" max="3" width="20.47265625" bestFit="1" customWidth="1"/>
    <col min="4" max="4" width="10.734375" bestFit="1" customWidth="1"/>
    <col min="7" max="7" width="11.1015625" bestFit="1" customWidth="1"/>
    <col min="8" max="8" width="9.47265625" bestFit="1" customWidth="1"/>
  </cols>
  <sheetData>
    <row r="1" spans="1:4" x14ac:dyDescent="0.45">
      <c r="A1" t="s">
        <v>4</v>
      </c>
      <c r="B1" t="s">
        <v>5</v>
      </c>
      <c r="C1" t="s">
        <v>6</v>
      </c>
      <c r="D1" t="s">
        <v>0</v>
      </c>
    </row>
    <row r="2" spans="1:4" x14ac:dyDescent="0.45">
      <c r="A2">
        <f>COUNT(C:C)</f>
        <v>51</v>
      </c>
      <c r="B2">
        <v>2008</v>
      </c>
      <c r="C2" s="2">
        <v>39448</v>
      </c>
      <c r="D2" t="s">
        <v>1</v>
      </c>
    </row>
    <row r="3" spans="1:4" x14ac:dyDescent="0.45">
      <c r="C3" s="2">
        <v>39485</v>
      </c>
      <c r="D3" t="s">
        <v>2</v>
      </c>
    </row>
    <row r="4" spans="1:4" x14ac:dyDescent="0.45">
      <c r="C4" s="2">
        <v>39486</v>
      </c>
      <c r="D4" t="s">
        <v>3</v>
      </c>
    </row>
    <row r="5" spans="1:4" x14ac:dyDescent="0.45">
      <c r="C5" s="2">
        <v>39487</v>
      </c>
    </row>
    <row r="6" spans="1:4" x14ac:dyDescent="0.45">
      <c r="C6" s="2">
        <v>39528</v>
      </c>
    </row>
    <row r="7" spans="1:4" x14ac:dyDescent="0.45">
      <c r="C7" s="2">
        <v>39529</v>
      </c>
    </row>
    <row r="8" spans="1:4" x14ac:dyDescent="0.45">
      <c r="C8" s="2">
        <v>39531</v>
      </c>
    </row>
    <row r="9" spans="1:4" x14ac:dyDescent="0.45">
      <c r="C9" s="2">
        <v>39542</v>
      </c>
    </row>
    <row r="10" spans="1:4" x14ac:dyDescent="0.45">
      <c r="C10" s="2">
        <v>39569</v>
      </c>
    </row>
    <row r="11" spans="1:4" x14ac:dyDescent="0.45">
      <c r="C11" s="2">
        <v>39580</v>
      </c>
    </row>
    <row r="12" spans="1:4" x14ac:dyDescent="0.45">
      <c r="C12" s="2">
        <v>39608</v>
      </c>
    </row>
    <row r="13" spans="1:4" x14ac:dyDescent="0.45">
      <c r="C13" s="2">
        <v>39630</v>
      </c>
    </row>
    <row r="14" spans="1:4" x14ac:dyDescent="0.45">
      <c r="C14" s="2">
        <v>39706</v>
      </c>
    </row>
    <row r="15" spans="1:4" x14ac:dyDescent="0.45">
      <c r="C15" s="2">
        <v>39722</v>
      </c>
    </row>
    <row r="16" spans="1:4" x14ac:dyDescent="0.45">
      <c r="C16" s="2">
        <v>39728</v>
      </c>
    </row>
    <row r="17" spans="2:3" x14ac:dyDescent="0.45">
      <c r="C17" s="2">
        <v>39807</v>
      </c>
    </row>
    <row r="18" spans="2:3" x14ac:dyDescent="0.45">
      <c r="C18" s="2">
        <v>39808</v>
      </c>
    </row>
    <row r="19" spans="2:3" x14ac:dyDescent="0.45">
      <c r="B19">
        <v>2009</v>
      </c>
      <c r="C19" s="2">
        <v>39814</v>
      </c>
    </row>
    <row r="20" spans="2:3" x14ac:dyDescent="0.45">
      <c r="C20" s="2">
        <v>39839</v>
      </c>
    </row>
    <row r="21" spans="2:3" x14ac:dyDescent="0.45">
      <c r="C21" s="2">
        <v>39840</v>
      </c>
    </row>
    <row r="22" spans="2:3" x14ac:dyDescent="0.45">
      <c r="C22" s="2">
        <v>39841</v>
      </c>
    </row>
    <row r="23" spans="2:3" x14ac:dyDescent="0.45">
      <c r="C23" s="2">
        <v>39907</v>
      </c>
    </row>
    <row r="24" spans="2:3" x14ac:dyDescent="0.45">
      <c r="C24" s="2">
        <v>39913</v>
      </c>
    </row>
    <row r="25" spans="2:3" x14ac:dyDescent="0.45">
      <c r="C25" s="2">
        <v>39914</v>
      </c>
    </row>
    <row r="26" spans="2:3" x14ac:dyDescent="0.45">
      <c r="C26" s="2">
        <v>39916</v>
      </c>
    </row>
    <row r="27" spans="2:3" x14ac:dyDescent="0.45">
      <c r="C27" s="2">
        <v>39934</v>
      </c>
    </row>
    <row r="28" spans="2:3" x14ac:dyDescent="0.45">
      <c r="C28" s="2">
        <v>39935</v>
      </c>
    </row>
    <row r="29" spans="2:3" x14ac:dyDescent="0.45">
      <c r="C29" s="2">
        <v>39961</v>
      </c>
    </row>
    <row r="30" spans="2:3" x14ac:dyDescent="0.45">
      <c r="C30" s="2">
        <v>39995</v>
      </c>
    </row>
    <row r="31" spans="2:3" x14ac:dyDescent="0.45">
      <c r="C31" s="2">
        <v>40087</v>
      </c>
    </row>
    <row r="32" spans="2:3" x14ac:dyDescent="0.45">
      <c r="C32" s="2">
        <v>40089</v>
      </c>
    </row>
    <row r="33" spans="2:3" x14ac:dyDescent="0.45">
      <c r="C33" s="2">
        <v>40112</v>
      </c>
    </row>
    <row r="34" spans="2:3" x14ac:dyDescent="0.45">
      <c r="C34" s="2">
        <v>40172</v>
      </c>
    </row>
    <row r="35" spans="2:3" x14ac:dyDescent="0.45">
      <c r="C35" s="2">
        <v>40173</v>
      </c>
    </row>
    <row r="36" spans="2:3" x14ac:dyDescent="0.45">
      <c r="B36">
        <v>2010</v>
      </c>
      <c r="C36" s="2">
        <v>40179</v>
      </c>
    </row>
    <row r="37" spans="2:3" x14ac:dyDescent="0.45">
      <c r="C37" s="2">
        <v>40222</v>
      </c>
    </row>
    <row r="38" spans="2:3" x14ac:dyDescent="0.45">
      <c r="C38" s="2">
        <v>40224</v>
      </c>
    </row>
    <row r="39" spans="2:3" x14ac:dyDescent="0.45">
      <c r="C39" s="2">
        <v>40225</v>
      </c>
    </row>
    <row r="40" spans="2:3" x14ac:dyDescent="0.45">
      <c r="C40" s="2">
        <v>40270</v>
      </c>
    </row>
    <row r="41" spans="2:3" x14ac:dyDescent="0.45">
      <c r="C41" s="2">
        <v>40271</v>
      </c>
    </row>
    <row r="42" spans="2:3" x14ac:dyDescent="0.45">
      <c r="C42" s="2">
        <v>40273</v>
      </c>
    </row>
    <row r="43" spans="2:3" x14ac:dyDescent="0.45">
      <c r="C43" s="2">
        <v>40274</v>
      </c>
    </row>
    <row r="44" spans="2:3" x14ac:dyDescent="0.45">
      <c r="C44" s="2">
        <v>40299</v>
      </c>
    </row>
    <row r="45" spans="2:3" x14ac:dyDescent="0.45">
      <c r="C45" s="2">
        <v>40319</v>
      </c>
    </row>
    <row r="46" spans="2:3" x14ac:dyDescent="0.45">
      <c r="C46" s="2">
        <v>40345</v>
      </c>
    </row>
    <row r="47" spans="2:3" x14ac:dyDescent="0.45">
      <c r="C47" s="2">
        <v>40360</v>
      </c>
    </row>
    <row r="48" spans="2:3" x14ac:dyDescent="0.45">
      <c r="C48" s="2">
        <v>40444</v>
      </c>
    </row>
    <row r="49" spans="3:3" x14ac:dyDescent="0.45">
      <c r="C49" s="2">
        <v>40452</v>
      </c>
    </row>
    <row r="50" spans="3:3" x14ac:dyDescent="0.45">
      <c r="C50" s="2">
        <v>40467</v>
      </c>
    </row>
    <row r="51" spans="3:3" x14ac:dyDescent="0.45">
      <c r="C51" s="2">
        <v>40537</v>
      </c>
    </row>
    <row r="52" spans="3:3" x14ac:dyDescent="0.45">
      <c r="C52" s="2">
        <v>40538</v>
      </c>
    </row>
    <row r="53" spans="3:3" x14ac:dyDescent="0.45">
      <c r="C53" s="2"/>
    </row>
    <row r="54" spans="3:3" x14ac:dyDescent="0.45">
      <c r="C54" s="2"/>
    </row>
    <row r="55" spans="3:3" x14ac:dyDescent="0.45">
      <c r="C55" s="2"/>
    </row>
    <row r="56" spans="3:3" x14ac:dyDescent="0.45">
      <c r="C56" s="2"/>
    </row>
    <row r="57" spans="3:3" x14ac:dyDescent="0.45">
      <c r="C57" s="2"/>
    </row>
    <row r="58" spans="3:3" x14ac:dyDescent="0.45">
      <c r="C58" s="2"/>
    </row>
    <row r="59" spans="3:3" x14ac:dyDescent="0.45">
      <c r="C59" s="2"/>
    </row>
    <row r="60" spans="3:3" x14ac:dyDescent="0.45">
      <c r="C60" s="2"/>
    </row>
    <row r="61" spans="3:3" x14ac:dyDescent="0.45">
      <c r="C61" s="2"/>
    </row>
    <row r="62" spans="3:3" x14ac:dyDescent="0.45">
      <c r="C62" s="2"/>
    </row>
    <row r="63" spans="3:3" x14ac:dyDescent="0.45">
      <c r="C63" s="2"/>
    </row>
    <row r="64" spans="3:3" x14ac:dyDescent="0.45">
      <c r="C64" s="2"/>
    </row>
    <row r="65" spans="3:3" x14ac:dyDescent="0.45">
      <c r="C65" s="2"/>
    </row>
    <row r="66" spans="3:3" x14ac:dyDescent="0.45">
      <c r="C66" s="2"/>
    </row>
    <row r="67" spans="3:3" x14ac:dyDescent="0.45">
      <c r="C67" s="2"/>
    </row>
    <row r="68" spans="3:3" x14ac:dyDescent="0.45">
      <c r="C68" s="2"/>
    </row>
    <row r="69" spans="3:3" x14ac:dyDescent="0.45">
      <c r="C69" s="2"/>
    </row>
    <row r="70" spans="3:3" x14ac:dyDescent="0.45">
      <c r="C70" s="2"/>
    </row>
    <row r="71" spans="3:3" x14ac:dyDescent="0.45">
      <c r="C71" s="2"/>
    </row>
    <row r="72" spans="3:3" x14ac:dyDescent="0.45">
      <c r="C72" s="2"/>
    </row>
    <row r="73" spans="3:3" x14ac:dyDescent="0.45">
      <c r="C73" s="2"/>
    </row>
    <row r="74" spans="3:3" x14ac:dyDescent="0.45">
      <c r="C74" s="2"/>
    </row>
    <row r="75" spans="3:3" x14ac:dyDescent="0.45">
      <c r="C75" s="2"/>
    </row>
    <row r="76" spans="3:3" x14ac:dyDescent="0.45">
      <c r="C76" s="2"/>
    </row>
    <row r="77" spans="3:3" x14ac:dyDescent="0.45">
      <c r="C77" s="2"/>
    </row>
    <row r="78" spans="3:3" x14ac:dyDescent="0.45">
      <c r="C78" s="2"/>
    </row>
    <row r="79" spans="3:3" x14ac:dyDescent="0.45">
      <c r="C79" s="2"/>
    </row>
    <row r="80" spans="3:3" x14ac:dyDescent="0.45">
      <c r="C80" s="2"/>
    </row>
    <row r="81" spans="3:3" x14ac:dyDescent="0.45">
      <c r="C81" s="2"/>
    </row>
    <row r="82" spans="3:3" x14ac:dyDescent="0.45">
      <c r="C82" s="2"/>
    </row>
    <row r="83" spans="3:3" x14ac:dyDescent="0.45">
      <c r="C83" s="2"/>
    </row>
    <row r="84" spans="3:3" x14ac:dyDescent="0.45">
      <c r="C84" s="2"/>
    </row>
    <row r="85" spans="3:3" x14ac:dyDescent="0.45">
      <c r="C85" s="2"/>
    </row>
    <row r="86" spans="3:3" x14ac:dyDescent="0.45">
      <c r="C86" s="2"/>
    </row>
    <row r="87" spans="3:3" x14ac:dyDescent="0.45">
      <c r="C87" s="2"/>
    </row>
    <row r="88" spans="3:3" x14ac:dyDescent="0.45">
      <c r="C88" s="2"/>
    </row>
    <row r="89" spans="3:3" x14ac:dyDescent="0.45">
      <c r="C89" s="2"/>
    </row>
    <row r="90" spans="3:3" x14ac:dyDescent="0.45">
      <c r="C90" s="2"/>
    </row>
    <row r="91" spans="3:3" x14ac:dyDescent="0.45">
      <c r="C91" s="2"/>
    </row>
    <row r="92" spans="3:3" x14ac:dyDescent="0.45">
      <c r="C92" s="2"/>
    </row>
    <row r="93" spans="3:3" x14ac:dyDescent="0.45">
      <c r="C93" s="2"/>
    </row>
    <row r="94" spans="3:3" x14ac:dyDescent="0.45">
      <c r="C94" s="2"/>
    </row>
    <row r="95" spans="3:3" x14ac:dyDescent="0.45">
      <c r="C95" s="2"/>
    </row>
    <row r="96" spans="3:3" x14ac:dyDescent="0.45">
      <c r="C96" s="2"/>
    </row>
    <row r="97" spans="3:3" x14ac:dyDescent="0.45">
      <c r="C97" s="2"/>
    </row>
    <row r="98" spans="3:3" x14ac:dyDescent="0.45">
      <c r="C98" s="2"/>
    </row>
    <row r="99" spans="3:3" x14ac:dyDescent="0.45">
      <c r="C99" s="2"/>
    </row>
    <row r="100" spans="3:3" x14ac:dyDescent="0.45">
      <c r="C100" s="2"/>
    </row>
    <row r="101" spans="3:3" x14ac:dyDescent="0.45">
      <c r="C101" s="2"/>
    </row>
    <row r="102" spans="3:3" x14ac:dyDescent="0.45">
      <c r="C102" s="2"/>
    </row>
    <row r="103" spans="3:3" x14ac:dyDescent="0.45">
      <c r="C103" s="2"/>
    </row>
    <row r="104" spans="3:3" x14ac:dyDescent="0.45">
      <c r="C104" s="2"/>
    </row>
    <row r="105" spans="3:3" x14ac:dyDescent="0.45">
      <c r="C105" s="2"/>
    </row>
    <row r="106" spans="3:3" x14ac:dyDescent="0.45">
      <c r="C106" s="2"/>
    </row>
    <row r="107" spans="3:3" x14ac:dyDescent="0.45">
      <c r="C107" s="2"/>
    </row>
    <row r="108" spans="3:3" x14ac:dyDescent="0.45">
      <c r="C108" s="2"/>
    </row>
    <row r="109" spans="3:3" x14ac:dyDescent="0.45">
      <c r="C109" s="2"/>
    </row>
    <row r="110" spans="3:3" x14ac:dyDescent="0.45">
      <c r="C110" s="2"/>
    </row>
    <row r="111" spans="3:3" x14ac:dyDescent="0.45">
      <c r="C111" s="2"/>
    </row>
    <row r="112" spans="3:3" x14ac:dyDescent="0.45">
      <c r="C112" s="2"/>
    </row>
    <row r="113" spans="3:3" x14ac:dyDescent="0.45">
      <c r="C113" s="2"/>
    </row>
    <row r="114" spans="3:3" x14ac:dyDescent="0.45">
      <c r="C114" s="2"/>
    </row>
    <row r="115" spans="3:3" x14ac:dyDescent="0.45">
      <c r="C115" s="2"/>
    </row>
    <row r="116" spans="3:3" x14ac:dyDescent="0.45">
      <c r="C116" s="2"/>
    </row>
    <row r="117" spans="3:3" x14ac:dyDescent="0.45">
      <c r="C117" s="2"/>
    </row>
    <row r="118" spans="3:3" x14ac:dyDescent="0.45">
      <c r="C118" s="2"/>
    </row>
    <row r="119" spans="3:3" x14ac:dyDescent="0.45">
      <c r="C119" s="2"/>
    </row>
    <row r="120" spans="3:3" x14ac:dyDescent="0.45">
      <c r="C120" s="2"/>
    </row>
    <row r="121" spans="3:3" x14ac:dyDescent="0.45">
      <c r="C121" s="2"/>
    </row>
    <row r="122" spans="3:3" x14ac:dyDescent="0.45">
      <c r="C122" s="2"/>
    </row>
    <row r="123" spans="3:3" x14ac:dyDescent="0.45">
      <c r="C123" s="2"/>
    </row>
    <row r="124" spans="3:3" x14ac:dyDescent="0.45">
      <c r="C124" s="2"/>
    </row>
    <row r="125" spans="3:3" x14ac:dyDescent="0.45">
      <c r="C125" s="2"/>
    </row>
    <row r="126" spans="3:3" x14ac:dyDescent="0.45">
      <c r="C126" s="2"/>
    </row>
    <row r="127" spans="3:3" x14ac:dyDescent="0.45">
      <c r="C127" s="2"/>
    </row>
    <row r="128" spans="3:3" x14ac:dyDescent="0.45">
      <c r="C128" s="2"/>
    </row>
    <row r="129" spans="3:3" x14ac:dyDescent="0.45">
      <c r="C129" s="2"/>
    </row>
    <row r="130" spans="3:3" x14ac:dyDescent="0.45">
      <c r="C130" s="2"/>
    </row>
    <row r="131" spans="3:3" x14ac:dyDescent="0.45">
      <c r="C131" s="2"/>
    </row>
    <row r="132" spans="3:3" x14ac:dyDescent="0.45">
      <c r="C132" s="2"/>
    </row>
    <row r="133" spans="3:3" x14ac:dyDescent="0.45">
      <c r="C133" s="2"/>
    </row>
    <row r="134" spans="3:3" x14ac:dyDescent="0.45">
      <c r="C134" s="2"/>
    </row>
    <row r="135" spans="3:3" x14ac:dyDescent="0.45">
      <c r="C135" s="2"/>
    </row>
    <row r="136" spans="3:3" x14ac:dyDescent="0.45">
      <c r="C136" s="2"/>
    </row>
    <row r="137" spans="3:3" x14ac:dyDescent="0.45">
      <c r="C137" s="2"/>
    </row>
    <row r="138" spans="3:3" x14ac:dyDescent="0.45">
      <c r="C138" s="2"/>
    </row>
    <row r="139" spans="3:3" x14ac:dyDescent="0.45">
      <c r="C139" s="2"/>
    </row>
    <row r="140" spans="3:3" x14ac:dyDescent="0.45">
      <c r="C140" s="2"/>
    </row>
    <row r="141" spans="3:3" x14ac:dyDescent="0.45">
      <c r="C141" s="2"/>
    </row>
    <row r="142" spans="3:3" x14ac:dyDescent="0.45">
      <c r="C142" s="2"/>
    </row>
    <row r="143" spans="3:3" x14ac:dyDescent="0.45">
      <c r="C143" s="2"/>
    </row>
    <row r="144" spans="3:3" x14ac:dyDescent="0.45">
      <c r="C144" s="2"/>
    </row>
    <row r="145" spans="3:3" x14ac:dyDescent="0.45">
      <c r="C145" s="2"/>
    </row>
    <row r="146" spans="3:3" x14ac:dyDescent="0.45">
      <c r="C146" s="2"/>
    </row>
    <row r="147" spans="3:3" x14ac:dyDescent="0.45">
      <c r="C147" s="2"/>
    </row>
    <row r="148" spans="3:3" x14ac:dyDescent="0.45">
      <c r="C148" s="2"/>
    </row>
    <row r="149" spans="3:3" x14ac:dyDescent="0.45">
      <c r="C149" s="2"/>
    </row>
    <row r="150" spans="3:3" x14ac:dyDescent="0.45">
      <c r="C150" s="2"/>
    </row>
    <row r="151" spans="3:3" x14ac:dyDescent="0.45">
      <c r="C151" s="2"/>
    </row>
    <row r="152" spans="3:3" x14ac:dyDescent="0.45">
      <c r="C152" s="2"/>
    </row>
    <row r="153" spans="3:3" x14ac:dyDescent="0.45">
      <c r="C153" s="2"/>
    </row>
    <row r="154" spans="3:3" x14ac:dyDescent="0.45">
      <c r="C154" s="2"/>
    </row>
    <row r="155" spans="3:3" x14ac:dyDescent="0.45">
      <c r="C155" s="2"/>
    </row>
    <row r="156" spans="3:3" x14ac:dyDescent="0.45">
      <c r="C156" s="2"/>
    </row>
    <row r="157" spans="3:3" x14ac:dyDescent="0.45">
      <c r="C157" s="2"/>
    </row>
    <row r="158" spans="3:3" x14ac:dyDescent="0.45">
      <c r="C158" s="2"/>
    </row>
    <row r="159" spans="3:3" x14ac:dyDescent="0.45">
      <c r="C159" s="2"/>
    </row>
    <row r="160" spans="3:3" x14ac:dyDescent="0.45">
      <c r="C160" s="2"/>
    </row>
    <row r="161" spans="3:3" x14ac:dyDescent="0.45">
      <c r="C161" s="2"/>
    </row>
    <row r="162" spans="3:3" x14ac:dyDescent="0.45">
      <c r="C162" s="2"/>
    </row>
    <row r="163" spans="3:3" x14ac:dyDescent="0.45">
      <c r="C163" s="2"/>
    </row>
    <row r="164" spans="3:3" x14ac:dyDescent="0.45">
      <c r="C164" s="2"/>
    </row>
    <row r="165" spans="3:3" x14ac:dyDescent="0.45">
      <c r="C165" s="2"/>
    </row>
    <row r="166" spans="3:3" x14ac:dyDescent="0.45">
      <c r="C166" s="2"/>
    </row>
    <row r="167" spans="3:3" x14ac:dyDescent="0.45">
      <c r="C167" s="2"/>
    </row>
    <row r="168" spans="3:3" x14ac:dyDescent="0.45">
      <c r="C168" s="2"/>
    </row>
    <row r="169" spans="3:3" x14ac:dyDescent="0.45">
      <c r="C169" s="2"/>
    </row>
    <row r="170" spans="3:3" x14ac:dyDescent="0.45">
      <c r="C170" s="2"/>
    </row>
    <row r="171" spans="3:3" x14ac:dyDescent="0.45">
      <c r="C171" s="2"/>
    </row>
    <row r="172" spans="3:3" x14ac:dyDescent="0.45">
      <c r="C172" s="2"/>
    </row>
    <row r="173" spans="3:3" x14ac:dyDescent="0.45">
      <c r="C173" s="2"/>
    </row>
    <row r="174" spans="3:3" x14ac:dyDescent="0.45">
      <c r="C174" s="2"/>
    </row>
    <row r="175" spans="3:3" x14ac:dyDescent="0.45">
      <c r="C175" s="2"/>
    </row>
    <row r="176" spans="3:3" x14ac:dyDescent="0.45">
      <c r="C176" s="2"/>
    </row>
    <row r="177" spans="3:3" x14ac:dyDescent="0.45">
      <c r="C177" s="2"/>
    </row>
    <row r="178" spans="3:3" x14ac:dyDescent="0.45">
      <c r="C178" s="2"/>
    </row>
    <row r="179" spans="3:3" x14ac:dyDescent="0.45">
      <c r="C179" s="2"/>
    </row>
    <row r="180" spans="3:3" x14ac:dyDescent="0.45">
      <c r="C180" s="2"/>
    </row>
    <row r="181" spans="3:3" x14ac:dyDescent="0.45">
      <c r="C181" s="2"/>
    </row>
    <row r="182" spans="3:3" x14ac:dyDescent="0.45">
      <c r="C182" s="2"/>
    </row>
    <row r="183" spans="3:3" x14ac:dyDescent="0.45">
      <c r="C183" s="2"/>
    </row>
    <row r="184" spans="3:3" x14ac:dyDescent="0.45">
      <c r="C184" s="2"/>
    </row>
    <row r="185" spans="3:3" x14ac:dyDescent="0.45">
      <c r="C185" s="2"/>
    </row>
    <row r="186" spans="3:3" x14ac:dyDescent="0.45">
      <c r="C186" s="2"/>
    </row>
    <row r="187" spans="3:3" x14ac:dyDescent="0.45">
      <c r="C187" s="2"/>
    </row>
    <row r="188" spans="3:3" x14ac:dyDescent="0.45">
      <c r="C188" s="2"/>
    </row>
    <row r="189" spans="3:3" x14ac:dyDescent="0.45">
      <c r="C189" s="2"/>
    </row>
    <row r="190" spans="3:3" x14ac:dyDescent="0.45">
      <c r="C190" s="2"/>
    </row>
    <row r="191" spans="3:3" x14ac:dyDescent="0.45">
      <c r="C191" s="2"/>
    </row>
    <row r="192" spans="3:3" x14ac:dyDescent="0.45">
      <c r="C192" s="2"/>
    </row>
    <row r="193" spans="3:3" x14ac:dyDescent="0.45">
      <c r="C193" s="2"/>
    </row>
    <row r="194" spans="3:3" x14ac:dyDescent="0.45">
      <c r="C194" s="2"/>
    </row>
    <row r="195" spans="3:3" x14ac:dyDescent="0.45">
      <c r="C195" s="2"/>
    </row>
    <row r="196" spans="3:3" x14ac:dyDescent="0.45">
      <c r="C196" s="2"/>
    </row>
    <row r="197" spans="3:3" x14ac:dyDescent="0.45">
      <c r="C197" s="2"/>
    </row>
    <row r="198" spans="3:3" x14ac:dyDescent="0.45">
      <c r="C198" s="2"/>
    </row>
    <row r="199" spans="3:3" x14ac:dyDescent="0.45">
      <c r="C199" s="2"/>
    </row>
    <row r="200" spans="3:3" x14ac:dyDescent="0.45">
      <c r="C200" s="2"/>
    </row>
    <row r="201" spans="3:3" x14ac:dyDescent="0.45">
      <c r="C201" s="1"/>
    </row>
    <row r="202" spans="3:3" x14ac:dyDescent="0.45">
      <c r="C202" s="1"/>
    </row>
    <row r="203" spans="3:3" x14ac:dyDescent="0.45">
      <c r="C203" s="1"/>
    </row>
    <row r="204" spans="3:3" x14ac:dyDescent="0.45">
      <c r="C204" s="1"/>
    </row>
    <row r="205" spans="3:3" x14ac:dyDescent="0.45">
      <c r="C205" s="1"/>
    </row>
    <row r="206" spans="3:3" x14ac:dyDescent="0.45">
      <c r="C206" s="1"/>
    </row>
    <row r="207" spans="3:3" x14ac:dyDescent="0.45">
      <c r="C207" s="1"/>
    </row>
    <row r="208" spans="3:3" x14ac:dyDescent="0.45">
      <c r="C208" s="1"/>
    </row>
    <row r="209" spans="3:3" x14ac:dyDescent="0.45">
      <c r="C209" s="1"/>
    </row>
    <row r="210" spans="3:3" x14ac:dyDescent="0.45">
      <c r="C210" s="1"/>
    </row>
    <row r="211" spans="3:3" x14ac:dyDescent="0.45">
      <c r="C211" s="1"/>
    </row>
    <row r="212" spans="3:3" x14ac:dyDescent="0.45">
      <c r="C212" s="1"/>
    </row>
    <row r="213" spans="3:3" x14ac:dyDescent="0.45">
      <c r="C213" s="1"/>
    </row>
    <row r="214" spans="3:3" x14ac:dyDescent="0.45">
      <c r="C214" s="1"/>
    </row>
    <row r="215" spans="3:3" x14ac:dyDescent="0.45">
      <c r="C215" s="1"/>
    </row>
    <row r="216" spans="3:3" x14ac:dyDescent="0.45">
      <c r="C216" s="1"/>
    </row>
    <row r="217" spans="3:3" x14ac:dyDescent="0.45">
      <c r="C217" s="1"/>
    </row>
    <row r="218" spans="3:3" x14ac:dyDescent="0.45">
      <c r="C218" s="1"/>
    </row>
    <row r="219" spans="3:3" x14ac:dyDescent="0.45">
      <c r="C219" s="1"/>
    </row>
    <row r="220" spans="3:3" x14ac:dyDescent="0.45">
      <c r="C220" s="1"/>
    </row>
    <row r="221" spans="3:3" x14ac:dyDescent="0.45">
      <c r="C221" s="1"/>
    </row>
    <row r="222" spans="3:3" x14ac:dyDescent="0.45">
      <c r="C222" s="1"/>
    </row>
    <row r="223" spans="3:3" x14ac:dyDescent="0.45">
      <c r="C223" s="1"/>
    </row>
    <row r="224" spans="3:3" x14ac:dyDescent="0.45">
      <c r="C224" s="1"/>
    </row>
    <row r="225" spans="3:3" x14ac:dyDescent="0.45">
      <c r="C225" s="1"/>
    </row>
    <row r="226" spans="3:3" x14ac:dyDescent="0.45">
      <c r="C226" s="1"/>
    </row>
    <row r="227" spans="3:3" x14ac:dyDescent="0.45">
      <c r="C227" s="1"/>
    </row>
    <row r="228" spans="3:3" x14ac:dyDescent="0.45">
      <c r="C228" s="1"/>
    </row>
    <row r="229" spans="3:3" x14ac:dyDescent="0.45">
      <c r="C229" s="1"/>
    </row>
    <row r="230" spans="3:3" x14ac:dyDescent="0.45">
      <c r="C230" s="1"/>
    </row>
    <row r="231" spans="3:3" x14ac:dyDescent="0.45">
      <c r="C231" s="1"/>
    </row>
    <row r="232" spans="3:3" x14ac:dyDescent="0.45">
      <c r="C232" s="1"/>
    </row>
    <row r="233" spans="3:3" x14ac:dyDescent="0.45">
      <c r="C233" s="1"/>
    </row>
    <row r="234" spans="3:3" x14ac:dyDescent="0.45">
      <c r="C234" s="1"/>
    </row>
    <row r="235" spans="3:3" x14ac:dyDescent="0.45">
      <c r="C235" s="1"/>
    </row>
    <row r="236" spans="3:3" x14ac:dyDescent="0.45">
      <c r="C236" s="1"/>
    </row>
    <row r="237" spans="3:3" x14ac:dyDescent="0.45">
      <c r="C237" s="1"/>
    </row>
    <row r="238" spans="3:3" x14ac:dyDescent="0.45">
      <c r="C238" s="1"/>
    </row>
    <row r="239" spans="3:3" x14ac:dyDescent="0.45">
      <c r="C239" s="1"/>
    </row>
    <row r="240" spans="3:3" x14ac:dyDescent="0.45">
      <c r="C240" s="1"/>
    </row>
    <row r="241" spans="3:3" x14ac:dyDescent="0.45">
      <c r="C241" s="1"/>
    </row>
    <row r="242" spans="3:3" x14ac:dyDescent="0.45">
      <c r="C242" s="1"/>
    </row>
    <row r="243" spans="3:3" x14ac:dyDescent="0.45">
      <c r="C243" s="1"/>
    </row>
    <row r="244" spans="3:3" x14ac:dyDescent="0.45">
      <c r="C244" s="1"/>
    </row>
    <row r="245" spans="3:3" x14ac:dyDescent="0.45">
      <c r="C245" s="1"/>
    </row>
    <row r="246" spans="3:3" x14ac:dyDescent="0.45">
      <c r="C246" s="1"/>
    </row>
    <row r="247" spans="3:3" x14ac:dyDescent="0.45">
      <c r="C247" s="1"/>
    </row>
    <row r="248" spans="3:3" x14ac:dyDescent="0.45">
      <c r="C248" s="1"/>
    </row>
    <row r="249" spans="3:3" x14ac:dyDescent="0.45">
      <c r="C249" s="1"/>
    </row>
    <row r="250" spans="3:3" x14ac:dyDescent="0.45">
      <c r="C250" s="1"/>
    </row>
    <row r="251" spans="3:3" x14ac:dyDescent="0.45">
      <c r="C251" s="1"/>
    </row>
    <row r="252" spans="3:3" x14ac:dyDescent="0.45">
      <c r="C252" s="1"/>
    </row>
    <row r="253" spans="3:3" x14ac:dyDescent="0.45">
      <c r="C253" s="1"/>
    </row>
    <row r="254" spans="3:3" x14ac:dyDescent="0.45">
      <c r="C254" s="1"/>
    </row>
    <row r="255" spans="3:3" x14ac:dyDescent="0.45">
      <c r="C255" s="1"/>
    </row>
    <row r="256" spans="3:3" x14ac:dyDescent="0.45">
      <c r="C256" s="1"/>
    </row>
    <row r="257" spans="3:3" x14ac:dyDescent="0.45">
      <c r="C257" s="1"/>
    </row>
    <row r="258" spans="3:3" x14ac:dyDescent="0.45">
      <c r="C258" s="1"/>
    </row>
    <row r="259" spans="3:3" x14ac:dyDescent="0.45">
      <c r="C259" s="1"/>
    </row>
    <row r="260" spans="3:3" x14ac:dyDescent="0.45">
      <c r="C260" s="1"/>
    </row>
    <row r="261" spans="3:3" x14ac:dyDescent="0.45">
      <c r="C261" s="1"/>
    </row>
    <row r="262" spans="3:3" x14ac:dyDescent="0.45">
      <c r="C262" s="1"/>
    </row>
    <row r="263" spans="3:3" x14ac:dyDescent="0.45">
      <c r="C263" s="1"/>
    </row>
    <row r="264" spans="3:3" x14ac:dyDescent="0.45">
      <c r="C264" s="1"/>
    </row>
    <row r="265" spans="3:3" x14ac:dyDescent="0.45">
      <c r="C265" s="1"/>
    </row>
    <row r="266" spans="3:3" x14ac:dyDescent="0.45">
      <c r="C266" s="1"/>
    </row>
    <row r="267" spans="3:3" x14ac:dyDescent="0.45">
      <c r="C267" s="1"/>
    </row>
    <row r="268" spans="3:3" x14ac:dyDescent="0.45">
      <c r="C268" s="1"/>
    </row>
    <row r="269" spans="3:3" x14ac:dyDescent="0.45">
      <c r="C269" s="1"/>
    </row>
    <row r="270" spans="3:3" x14ac:dyDescent="0.45">
      <c r="C270" s="1"/>
    </row>
    <row r="271" spans="3:3" x14ac:dyDescent="0.45">
      <c r="C271" s="1"/>
    </row>
    <row r="272" spans="3:3" x14ac:dyDescent="0.45">
      <c r="C272" s="1"/>
    </row>
    <row r="273" spans="3:3" x14ac:dyDescent="0.45">
      <c r="C273" s="1"/>
    </row>
    <row r="274" spans="3:3" x14ac:dyDescent="0.45">
      <c r="C274" s="1"/>
    </row>
    <row r="275" spans="3:3" x14ac:dyDescent="0.45">
      <c r="C275" s="1"/>
    </row>
    <row r="276" spans="3:3" x14ac:dyDescent="0.45">
      <c r="C276" s="1"/>
    </row>
    <row r="277" spans="3:3" x14ac:dyDescent="0.45">
      <c r="C277" s="1"/>
    </row>
    <row r="278" spans="3:3" x14ac:dyDescent="0.45">
      <c r="C278" s="1"/>
    </row>
    <row r="279" spans="3:3" x14ac:dyDescent="0.45">
      <c r="C279" s="1"/>
    </row>
    <row r="280" spans="3:3" x14ac:dyDescent="0.45">
      <c r="C280" s="1"/>
    </row>
    <row r="281" spans="3:3" x14ac:dyDescent="0.45">
      <c r="C281" s="1"/>
    </row>
    <row r="282" spans="3:3" x14ac:dyDescent="0.45">
      <c r="C282" s="1"/>
    </row>
    <row r="283" spans="3:3" x14ac:dyDescent="0.45">
      <c r="C283" s="1"/>
    </row>
    <row r="284" spans="3:3" x14ac:dyDescent="0.45">
      <c r="C284" s="1"/>
    </row>
    <row r="285" spans="3:3" x14ac:dyDescent="0.45">
      <c r="C285" s="1"/>
    </row>
    <row r="286" spans="3:3" x14ac:dyDescent="0.45">
      <c r="C286" s="1"/>
    </row>
    <row r="287" spans="3:3" x14ac:dyDescent="0.45">
      <c r="C287" s="1"/>
    </row>
    <row r="288" spans="3:3" x14ac:dyDescent="0.45">
      <c r="C288" s="1"/>
    </row>
    <row r="289" spans="3:3" x14ac:dyDescent="0.45">
      <c r="C289" s="1"/>
    </row>
    <row r="290" spans="3:3" x14ac:dyDescent="0.45">
      <c r="C290" s="1"/>
    </row>
    <row r="291" spans="3:3" x14ac:dyDescent="0.45">
      <c r="C291" s="1"/>
    </row>
    <row r="292" spans="3:3" x14ac:dyDescent="0.45">
      <c r="C292" s="1"/>
    </row>
    <row r="293" spans="3:3" x14ac:dyDescent="0.45">
      <c r="C293" s="1"/>
    </row>
    <row r="294" spans="3:3" x14ac:dyDescent="0.45">
      <c r="C294" s="1"/>
    </row>
    <row r="295" spans="3:3" x14ac:dyDescent="0.45">
      <c r="C295" s="1"/>
    </row>
    <row r="296" spans="3:3" x14ac:dyDescent="0.45">
      <c r="C296" s="1"/>
    </row>
    <row r="297" spans="3:3" x14ac:dyDescent="0.45">
      <c r="C297" s="1"/>
    </row>
    <row r="298" spans="3:3" x14ac:dyDescent="0.45">
      <c r="C298" s="1"/>
    </row>
    <row r="299" spans="3:3" x14ac:dyDescent="0.45">
      <c r="C299" s="1"/>
    </row>
    <row r="300" spans="3:3" x14ac:dyDescent="0.45">
      <c r="C300" s="1"/>
    </row>
    <row r="301" spans="3:3" x14ac:dyDescent="0.45">
      <c r="C301" s="1"/>
    </row>
    <row r="302" spans="3:3" x14ac:dyDescent="0.45">
      <c r="C302" s="1"/>
    </row>
    <row r="303" spans="3:3" x14ac:dyDescent="0.45">
      <c r="C303" s="1"/>
    </row>
    <row r="304" spans="3:3" x14ac:dyDescent="0.45">
      <c r="C304" s="1"/>
    </row>
    <row r="305" spans="3:3" x14ac:dyDescent="0.45">
      <c r="C305" s="1"/>
    </row>
    <row r="306" spans="3:3" x14ac:dyDescent="0.45">
      <c r="C306" s="1"/>
    </row>
    <row r="307" spans="3:3" x14ac:dyDescent="0.45">
      <c r="C307" s="1"/>
    </row>
    <row r="308" spans="3:3" x14ac:dyDescent="0.45">
      <c r="C308" s="1"/>
    </row>
    <row r="309" spans="3:3" x14ac:dyDescent="0.45">
      <c r="C309" s="1"/>
    </row>
    <row r="310" spans="3:3" x14ac:dyDescent="0.45">
      <c r="C310" s="1"/>
    </row>
    <row r="311" spans="3:3" x14ac:dyDescent="0.45">
      <c r="C311" s="1"/>
    </row>
    <row r="312" spans="3:3" x14ac:dyDescent="0.45">
      <c r="C312" s="1"/>
    </row>
    <row r="313" spans="3:3" x14ac:dyDescent="0.45">
      <c r="C313" s="1"/>
    </row>
    <row r="314" spans="3:3" x14ac:dyDescent="0.45">
      <c r="C314" s="1"/>
    </row>
    <row r="315" spans="3:3" x14ac:dyDescent="0.45">
      <c r="C315" s="1"/>
    </row>
    <row r="316" spans="3:3" x14ac:dyDescent="0.45">
      <c r="C316" s="1"/>
    </row>
    <row r="317" spans="3:3" x14ac:dyDescent="0.45">
      <c r="C317" s="1"/>
    </row>
    <row r="318" spans="3:3" x14ac:dyDescent="0.45">
      <c r="C318" s="1"/>
    </row>
    <row r="319" spans="3:3" x14ac:dyDescent="0.45">
      <c r="C319" s="1"/>
    </row>
    <row r="320" spans="3:3" x14ac:dyDescent="0.45">
      <c r="C320" s="1"/>
    </row>
    <row r="321" spans="3:3" x14ac:dyDescent="0.45">
      <c r="C321" s="1"/>
    </row>
    <row r="322" spans="3:3" x14ac:dyDescent="0.45">
      <c r="C322" s="1"/>
    </row>
    <row r="323" spans="3:3" x14ac:dyDescent="0.45">
      <c r="C323" s="1"/>
    </row>
    <row r="324" spans="3:3" x14ac:dyDescent="0.45">
      <c r="C324" s="1"/>
    </row>
    <row r="325" spans="3:3" x14ac:dyDescent="0.45">
      <c r="C325" s="1"/>
    </row>
    <row r="326" spans="3:3" x14ac:dyDescent="0.45">
      <c r="C326" s="1"/>
    </row>
    <row r="327" spans="3:3" x14ac:dyDescent="0.45">
      <c r="C327" s="1"/>
    </row>
    <row r="328" spans="3:3" x14ac:dyDescent="0.45">
      <c r="C328" s="1"/>
    </row>
    <row r="329" spans="3:3" x14ac:dyDescent="0.45">
      <c r="C329" s="1"/>
    </row>
    <row r="330" spans="3:3" x14ac:dyDescent="0.45">
      <c r="C330" s="1"/>
    </row>
    <row r="331" spans="3:3" x14ac:dyDescent="0.45">
      <c r="C331" s="1"/>
    </row>
    <row r="332" spans="3:3" x14ac:dyDescent="0.45">
      <c r="C332" s="1"/>
    </row>
    <row r="333" spans="3:3" x14ac:dyDescent="0.45">
      <c r="C333" s="1"/>
    </row>
    <row r="334" spans="3:3" x14ac:dyDescent="0.45">
      <c r="C334" s="1"/>
    </row>
    <row r="335" spans="3:3" x14ac:dyDescent="0.45">
      <c r="C335" s="1"/>
    </row>
    <row r="336" spans="3:3" x14ac:dyDescent="0.45">
      <c r="C336" s="1"/>
    </row>
    <row r="337" spans="3:3" x14ac:dyDescent="0.45">
      <c r="C337" s="1"/>
    </row>
    <row r="338" spans="3:3" x14ac:dyDescent="0.45">
      <c r="C338" s="1"/>
    </row>
    <row r="339" spans="3:3" x14ac:dyDescent="0.45">
      <c r="C339" s="1"/>
    </row>
    <row r="340" spans="3:3" x14ac:dyDescent="0.45">
      <c r="C340" s="1"/>
    </row>
    <row r="341" spans="3:3" x14ac:dyDescent="0.45">
      <c r="C341" s="1"/>
    </row>
    <row r="342" spans="3:3" x14ac:dyDescent="0.45">
      <c r="C342" s="1"/>
    </row>
    <row r="343" spans="3:3" x14ac:dyDescent="0.45">
      <c r="C343" s="1"/>
    </row>
    <row r="344" spans="3:3" x14ac:dyDescent="0.45">
      <c r="C344" s="1"/>
    </row>
    <row r="345" spans="3:3" x14ac:dyDescent="0.45">
      <c r="C345" s="1"/>
    </row>
    <row r="346" spans="3:3" x14ac:dyDescent="0.45">
      <c r="C346" s="1"/>
    </row>
    <row r="347" spans="3:3" x14ac:dyDescent="0.45">
      <c r="C347" s="1"/>
    </row>
    <row r="348" spans="3:3" x14ac:dyDescent="0.45">
      <c r="C348" s="1"/>
    </row>
    <row r="349" spans="3:3" x14ac:dyDescent="0.45">
      <c r="C349" s="1"/>
    </row>
    <row r="350" spans="3:3" x14ac:dyDescent="0.45">
      <c r="C350" s="1"/>
    </row>
    <row r="351" spans="3:3" x14ac:dyDescent="0.45">
      <c r="C351" s="1"/>
    </row>
    <row r="352" spans="3:3" x14ac:dyDescent="0.45">
      <c r="C352" s="1"/>
    </row>
    <row r="353" spans="3:3" x14ac:dyDescent="0.45">
      <c r="C353" s="1"/>
    </row>
    <row r="354" spans="3:3" x14ac:dyDescent="0.45">
      <c r="C354" s="1"/>
    </row>
    <row r="355" spans="3:3" x14ac:dyDescent="0.45">
      <c r="C355" s="1"/>
    </row>
    <row r="356" spans="3:3" x14ac:dyDescent="0.45">
      <c r="C356" s="1"/>
    </row>
    <row r="357" spans="3:3" x14ac:dyDescent="0.45">
      <c r="C357" s="1"/>
    </row>
    <row r="358" spans="3:3" x14ac:dyDescent="0.45">
      <c r="C358" s="1"/>
    </row>
    <row r="359" spans="3:3" x14ac:dyDescent="0.45">
      <c r="C359" s="1"/>
    </row>
    <row r="360" spans="3:3" x14ac:dyDescent="0.45">
      <c r="C360" s="1"/>
    </row>
    <row r="361" spans="3:3" x14ac:dyDescent="0.45">
      <c r="C361" s="1"/>
    </row>
    <row r="362" spans="3:3" x14ac:dyDescent="0.45">
      <c r="C362" s="1"/>
    </row>
    <row r="363" spans="3:3" x14ac:dyDescent="0.45">
      <c r="C363" s="1"/>
    </row>
    <row r="364" spans="3:3" x14ac:dyDescent="0.45">
      <c r="C364" s="1"/>
    </row>
    <row r="365" spans="3:3" x14ac:dyDescent="0.45">
      <c r="C365" s="1"/>
    </row>
    <row r="366" spans="3:3" x14ac:dyDescent="0.45">
      <c r="C366" s="1"/>
    </row>
    <row r="367" spans="3:3" x14ac:dyDescent="0.45">
      <c r="C367" s="1"/>
    </row>
    <row r="368" spans="3:3" x14ac:dyDescent="0.45">
      <c r="C368" s="1"/>
    </row>
    <row r="369" spans="3:3" x14ac:dyDescent="0.45">
      <c r="C369" s="1"/>
    </row>
    <row r="370" spans="3:3" x14ac:dyDescent="0.45">
      <c r="C370" s="1"/>
    </row>
    <row r="371" spans="3:3" x14ac:dyDescent="0.45">
      <c r="C371" s="1"/>
    </row>
    <row r="372" spans="3:3" x14ac:dyDescent="0.45">
      <c r="C372" s="1"/>
    </row>
    <row r="373" spans="3:3" x14ac:dyDescent="0.45">
      <c r="C373" s="1"/>
    </row>
    <row r="374" spans="3:3" x14ac:dyDescent="0.45">
      <c r="C374" s="1"/>
    </row>
    <row r="375" spans="3:3" x14ac:dyDescent="0.45">
      <c r="C375" s="1"/>
    </row>
    <row r="376" spans="3:3" x14ac:dyDescent="0.45">
      <c r="C376" s="1"/>
    </row>
    <row r="377" spans="3:3" x14ac:dyDescent="0.45">
      <c r="C377" s="1"/>
    </row>
    <row r="378" spans="3:3" x14ac:dyDescent="0.45">
      <c r="C378" s="1"/>
    </row>
    <row r="379" spans="3:3" x14ac:dyDescent="0.45">
      <c r="C379" s="1"/>
    </row>
    <row r="380" spans="3:3" x14ac:dyDescent="0.45">
      <c r="C380" s="1"/>
    </row>
    <row r="381" spans="3:3" x14ac:dyDescent="0.45">
      <c r="C381" s="1"/>
    </row>
    <row r="382" spans="3:3" x14ac:dyDescent="0.45">
      <c r="C382" s="1"/>
    </row>
    <row r="383" spans="3:3" x14ac:dyDescent="0.45">
      <c r="C383" s="1"/>
    </row>
    <row r="384" spans="3:3" x14ac:dyDescent="0.45">
      <c r="C384" s="1"/>
    </row>
    <row r="385" spans="3:3" x14ac:dyDescent="0.45">
      <c r="C385" s="1"/>
    </row>
    <row r="386" spans="3:3" x14ac:dyDescent="0.45">
      <c r="C386" s="1"/>
    </row>
    <row r="387" spans="3:3" x14ac:dyDescent="0.45">
      <c r="C387" s="1"/>
    </row>
    <row r="388" spans="3:3" x14ac:dyDescent="0.45">
      <c r="C388" s="1"/>
    </row>
    <row r="389" spans="3:3" x14ac:dyDescent="0.45">
      <c r="C389" s="1"/>
    </row>
    <row r="390" spans="3:3" x14ac:dyDescent="0.45">
      <c r="C390" s="1"/>
    </row>
    <row r="391" spans="3:3" x14ac:dyDescent="0.45">
      <c r="C391" s="1"/>
    </row>
    <row r="392" spans="3:3" x14ac:dyDescent="0.45">
      <c r="C392" s="1"/>
    </row>
    <row r="393" spans="3:3" x14ac:dyDescent="0.45">
      <c r="C393" s="1"/>
    </row>
    <row r="394" spans="3:3" x14ac:dyDescent="0.45">
      <c r="C394" s="1"/>
    </row>
    <row r="395" spans="3:3" x14ac:dyDescent="0.45">
      <c r="C395" s="1"/>
    </row>
    <row r="396" spans="3:3" x14ac:dyDescent="0.45">
      <c r="C396" s="1"/>
    </row>
    <row r="397" spans="3:3" x14ac:dyDescent="0.45">
      <c r="C397" s="1"/>
    </row>
    <row r="398" spans="3:3" x14ac:dyDescent="0.45">
      <c r="C398" s="1"/>
    </row>
    <row r="399" spans="3:3" x14ac:dyDescent="0.45">
      <c r="C399" s="1"/>
    </row>
    <row r="400" spans="3:3" x14ac:dyDescent="0.45">
      <c r="C400" s="1"/>
    </row>
    <row r="401" spans="3:3" x14ac:dyDescent="0.45">
      <c r="C401" s="1"/>
    </row>
    <row r="402" spans="3:3" x14ac:dyDescent="0.45">
      <c r="C402" s="1"/>
    </row>
    <row r="403" spans="3:3" x14ac:dyDescent="0.45">
      <c r="C403" s="1"/>
    </row>
    <row r="404" spans="3:3" x14ac:dyDescent="0.45">
      <c r="C404" s="1"/>
    </row>
    <row r="405" spans="3:3" x14ac:dyDescent="0.45">
      <c r="C405" s="1"/>
    </row>
    <row r="406" spans="3:3" x14ac:dyDescent="0.45">
      <c r="C406" s="1"/>
    </row>
    <row r="407" spans="3:3" x14ac:dyDescent="0.45">
      <c r="C407" s="1"/>
    </row>
    <row r="408" spans="3:3" x14ac:dyDescent="0.45">
      <c r="C408" s="1"/>
    </row>
    <row r="409" spans="3:3" x14ac:dyDescent="0.45">
      <c r="C409" s="1"/>
    </row>
    <row r="410" spans="3:3" x14ac:dyDescent="0.45">
      <c r="C410" s="1"/>
    </row>
    <row r="411" spans="3:3" x14ac:dyDescent="0.45">
      <c r="C411" s="1"/>
    </row>
    <row r="412" spans="3:3" x14ac:dyDescent="0.45">
      <c r="C412" s="1"/>
    </row>
    <row r="413" spans="3:3" x14ac:dyDescent="0.45">
      <c r="C413" s="1"/>
    </row>
    <row r="414" spans="3:3" x14ac:dyDescent="0.45">
      <c r="C414" s="1"/>
    </row>
    <row r="415" spans="3:3" x14ac:dyDescent="0.45">
      <c r="C415" s="1"/>
    </row>
    <row r="416" spans="3:3" x14ac:dyDescent="0.45">
      <c r="C416" s="1"/>
    </row>
    <row r="417" spans="3:3" x14ac:dyDescent="0.45">
      <c r="C417" s="1"/>
    </row>
    <row r="418" spans="3:3" x14ac:dyDescent="0.45">
      <c r="C418" s="1"/>
    </row>
    <row r="419" spans="3:3" x14ac:dyDescent="0.45">
      <c r="C419" s="1"/>
    </row>
    <row r="420" spans="3:3" x14ac:dyDescent="0.45">
      <c r="C420" s="1"/>
    </row>
    <row r="421" spans="3:3" x14ac:dyDescent="0.45">
      <c r="C421" s="1"/>
    </row>
    <row r="422" spans="3:3" x14ac:dyDescent="0.45">
      <c r="C422" s="1"/>
    </row>
    <row r="423" spans="3:3" x14ac:dyDescent="0.45">
      <c r="C423" s="1"/>
    </row>
    <row r="424" spans="3:3" x14ac:dyDescent="0.45">
      <c r="C424" s="1"/>
    </row>
    <row r="425" spans="3:3" x14ac:dyDescent="0.45">
      <c r="C425" s="1"/>
    </row>
    <row r="426" spans="3:3" x14ac:dyDescent="0.45">
      <c r="C426" s="1"/>
    </row>
    <row r="427" spans="3:3" x14ac:dyDescent="0.45">
      <c r="C427" s="1"/>
    </row>
    <row r="428" spans="3:3" x14ac:dyDescent="0.45">
      <c r="C428" s="1"/>
    </row>
    <row r="429" spans="3:3" x14ac:dyDescent="0.45">
      <c r="C429" s="1"/>
    </row>
    <row r="430" spans="3:3" x14ac:dyDescent="0.45">
      <c r="C430" s="1"/>
    </row>
    <row r="431" spans="3:3" x14ac:dyDescent="0.45">
      <c r="C431" s="1"/>
    </row>
    <row r="432" spans="3:3" x14ac:dyDescent="0.45">
      <c r="C432" s="1"/>
    </row>
    <row r="433" spans="3:3" x14ac:dyDescent="0.45">
      <c r="C433" s="1"/>
    </row>
    <row r="434" spans="3:3" x14ac:dyDescent="0.45">
      <c r="C434" s="1"/>
    </row>
    <row r="435" spans="3:3" x14ac:dyDescent="0.45">
      <c r="C435" s="1"/>
    </row>
    <row r="436" spans="3:3" x14ac:dyDescent="0.45">
      <c r="C436" s="1"/>
    </row>
    <row r="437" spans="3:3" x14ac:dyDescent="0.45">
      <c r="C437" s="1"/>
    </row>
    <row r="438" spans="3:3" x14ac:dyDescent="0.45">
      <c r="C438" s="1"/>
    </row>
    <row r="439" spans="3:3" x14ac:dyDescent="0.45">
      <c r="C439" s="1"/>
    </row>
    <row r="440" spans="3:3" x14ac:dyDescent="0.45">
      <c r="C440" s="1"/>
    </row>
    <row r="441" spans="3:3" x14ac:dyDescent="0.45">
      <c r="C441" s="1"/>
    </row>
    <row r="442" spans="3:3" x14ac:dyDescent="0.45">
      <c r="C442" s="1"/>
    </row>
    <row r="443" spans="3:3" x14ac:dyDescent="0.45">
      <c r="C443" s="1"/>
    </row>
    <row r="444" spans="3:3" x14ac:dyDescent="0.45">
      <c r="C444" s="1"/>
    </row>
    <row r="445" spans="3:3" x14ac:dyDescent="0.45">
      <c r="C445" s="1"/>
    </row>
    <row r="446" spans="3:3" x14ac:dyDescent="0.45">
      <c r="C446" s="1"/>
    </row>
    <row r="447" spans="3:3" x14ac:dyDescent="0.45">
      <c r="C447" s="1"/>
    </row>
    <row r="448" spans="3:3" x14ac:dyDescent="0.45">
      <c r="C448" s="1"/>
    </row>
    <row r="449" spans="3:3" x14ac:dyDescent="0.45">
      <c r="C449" s="1"/>
    </row>
    <row r="450" spans="3:3" x14ac:dyDescent="0.45">
      <c r="C450" s="1"/>
    </row>
    <row r="451" spans="3:3" x14ac:dyDescent="0.45">
      <c r="C451" s="1"/>
    </row>
    <row r="452" spans="3:3" x14ac:dyDescent="0.45">
      <c r="C452" s="1"/>
    </row>
    <row r="453" spans="3:3" x14ac:dyDescent="0.45">
      <c r="C453" s="1"/>
    </row>
    <row r="454" spans="3:3" x14ac:dyDescent="0.45">
      <c r="C454" s="1"/>
    </row>
    <row r="455" spans="3:3" x14ac:dyDescent="0.45">
      <c r="C455" s="1"/>
    </row>
    <row r="456" spans="3:3" x14ac:dyDescent="0.45">
      <c r="C456" s="1"/>
    </row>
    <row r="457" spans="3:3" x14ac:dyDescent="0.45">
      <c r="C457" s="1"/>
    </row>
    <row r="458" spans="3:3" x14ac:dyDescent="0.45">
      <c r="C458" s="1"/>
    </row>
    <row r="459" spans="3:3" x14ac:dyDescent="0.45">
      <c r="C459" s="1"/>
    </row>
    <row r="460" spans="3:3" x14ac:dyDescent="0.45">
      <c r="C460" s="1"/>
    </row>
    <row r="461" spans="3:3" x14ac:dyDescent="0.45">
      <c r="C461" s="1"/>
    </row>
    <row r="462" spans="3:3" x14ac:dyDescent="0.45">
      <c r="C462" s="1"/>
    </row>
    <row r="463" spans="3:3" x14ac:dyDescent="0.45">
      <c r="C463" s="1"/>
    </row>
    <row r="464" spans="3:3" x14ac:dyDescent="0.45">
      <c r="C464" s="1"/>
    </row>
    <row r="465" spans="3:3" x14ac:dyDescent="0.45">
      <c r="C465" s="1"/>
    </row>
    <row r="466" spans="3:3" x14ac:dyDescent="0.45">
      <c r="C466" s="1"/>
    </row>
    <row r="467" spans="3:3" x14ac:dyDescent="0.45">
      <c r="C467" s="1"/>
    </row>
    <row r="468" spans="3:3" x14ac:dyDescent="0.45">
      <c r="C468" s="1"/>
    </row>
    <row r="469" spans="3:3" x14ac:dyDescent="0.45">
      <c r="C469" s="1"/>
    </row>
    <row r="470" spans="3:3" x14ac:dyDescent="0.45">
      <c r="C470" s="1"/>
    </row>
    <row r="471" spans="3:3" x14ac:dyDescent="0.45">
      <c r="C471" s="1"/>
    </row>
    <row r="472" spans="3:3" x14ac:dyDescent="0.45">
      <c r="C472" s="1"/>
    </row>
    <row r="473" spans="3:3" x14ac:dyDescent="0.45">
      <c r="C473" s="1"/>
    </row>
    <row r="474" spans="3:3" x14ac:dyDescent="0.45">
      <c r="C474" s="1"/>
    </row>
    <row r="475" spans="3:3" x14ac:dyDescent="0.45">
      <c r="C475" s="1"/>
    </row>
    <row r="476" spans="3:3" x14ac:dyDescent="0.45">
      <c r="C476" s="1"/>
    </row>
    <row r="477" spans="3:3" x14ac:dyDescent="0.45">
      <c r="C477" s="1"/>
    </row>
    <row r="478" spans="3:3" x14ac:dyDescent="0.45">
      <c r="C478" s="1"/>
    </row>
    <row r="479" spans="3:3" x14ac:dyDescent="0.45">
      <c r="C479" s="1"/>
    </row>
    <row r="480" spans="3:3" x14ac:dyDescent="0.45">
      <c r="C480" s="1"/>
    </row>
    <row r="481" spans="3:3" x14ac:dyDescent="0.45">
      <c r="C481" s="1"/>
    </row>
    <row r="482" spans="3:3" x14ac:dyDescent="0.45">
      <c r="C482" s="1"/>
    </row>
    <row r="483" spans="3:3" x14ac:dyDescent="0.45">
      <c r="C483" s="1"/>
    </row>
    <row r="484" spans="3:3" x14ac:dyDescent="0.45">
      <c r="C484" s="1"/>
    </row>
    <row r="485" spans="3:3" x14ac:dyDescent="0.45">
      <c r="C485" s="1"/>
    </row>
    <row r="486" spans="3:3" x14ac:dyDescent="0.45">
      <c r="C486" s="1"/>
    </row>
    <row r="487" spans="3:3" x14ac:dyDescent="0.45">
      <c r="C487" s="1"/>
    </row>
    <row r="488" spans="3:3" x14ac:dyDescent="0.45">
      <c r="C488" s="1"/>
    </row>
    <row r="489" spans="3:3" x14ac:dyDescent="0.45">
      <c r="C489" s="1"/>
    </row>
    <row r="490" spans="3:3" x14ac:dyDescent="0.45">
      <c r="C490" s="1"/>
    </row>
    <row r="491" spans="3:3" x14ac:dyDescent="0.45">
      <c r="C491" s="1"/>
    </row>
    <row r="492" spans="3:3" x14ac:dyDescent="0.45">
      <c r="C492" s="1"/>
    </row>
    <row r="493" spans="3:3" x14ac:dyDescent="0.45">
      <c r="C493" s="1"/>
    </row>
    <row r="494" spans="3:3" x14ac:dyDescent="0.45">
      <c r="C494" s="1"/>
    </row>
    <row r="495" spans="3:3" x14ac:dyDescent="0.45">
      <c r="C495" s="1"/>
    </row>
    <row r="496" spans="3:3" x14ac:dyDescent="0.45">
      <c r="C496" s="1"/>
    </row>
    <row r="497" spans="3:3" x14ac:dyDescent="0.45">
      <c r="C497" s="1"/>
    </row>
    <row r="498" spans="3:3" x14ac:dyDescent="0.45">
      <c r="C498" s="1"/>
    </row>
    <row r="499" spans="3:3" x14ac:dyDescent="0.45">
      <c r="C499" s="1"/>
    </row>
    <row r="500" spans="3:3" x14ac:dyDescent="0.45">
      <c r="C500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Callable RAN</vt:lpstr>
      <vt:lpstr>AM_RAN</vt:lpstr>
      <vt:lpstr>ListItem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Rakotomavo</dc:creator>
  <cp:lastModifiedBy>赵泽宇</cp:lastModifiedBy>
  <dcterms:created xsi:type="dcterms:W3CDTF">2010-05-30T12:54:44Z</dcterms:created>
  <dcterms:modified xsi:type="dcterms:W3CDTF">2018-02-24T03:28:11Z</dcterms:modified>
</cp:coreProperties>
</file>